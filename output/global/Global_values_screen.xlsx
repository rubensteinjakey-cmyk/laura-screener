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Pass list" sheetId="2" state="visible" r:id="rId4"/>
    <sheet name="All scored" sheetId="3" state="visible" r:id="rId5"/>
    <sheet name="Evidence quotes" sheetId="4" state="visible" r:id="rId6"/>
    <sheet name="Dropped" sheetId="5" state="visible" r:id="rId7"/>
  </sheets>
  <definedNames>
    <definedName function="false" hidden="true" localSheetId="2" name="_xlnm._FilterDatabase" vbProcedure="false">'All scored'!$A$1:$Y$64</definedName>
    <definedName function="false" hidden="true" localSheetId="3" name="_xlnm._FilterDatabase" vbProcedure="false">'Evidence quotes'!$A$1:$K$660</definedName>
    <definedName function="false" hidden="true" localSheetId="1" name="_xlnm._FilterDatabase" vbProcedure="false">'Pass list'!$A$1:$G$36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<sst xmlns="http://schemas.openxmlformats.org/spreadsheetml/2006/main" count="7702" uniqueCount="2357">
  <si>
    <t xml:space="preserve">Rooted Capital global sleeve: values screen (scored companies)</t>
  </si>
  <si>
    <t xml:space="preserve">As of Oct 23, 2026 · 63 companies scored in 14 country-sectors · 7 dropped by the team (see 'Dropped') · values filter only</t>
  </si>
  <si>
    <t xml:space="preserve">Country</t>
  </si>
  <si>
    <t xml:space="preserve">Sector</t>
  </si>
  <si>
    <t xml:space="preserve">Companies scored</t>
  </si>
  <si>
    <t xml:space="preserve">Pass</t>
  </si>
  <si>
    <t xml:space="preserve">Fail</t>
  </si>
  <si>
    <t xml:space="preserve">Top company</t>
  </si>
  <si>
    <t xml:space="preserve">Top final score</t>
  </si>
  <si>
    <t xml:space="preserve">Average final score</t>
  </si>
  <si>
    <t xml:space="preserve">Denmark</t>
  </si>
  <si>
    <t xml:space="preserve">Financials</t>
  </si>
  <si>
    <t xml:space="preserve">Health Care</t>
  </si>
  <si>
    <t xml:space="preserve">Industrials</t>
  </si>
  <si>
    <t xml:space="preserve">Switzerland</t>
  </si>
  <si>
    <t xml:space="preserve">Materials</t>
  </si>
  <si>
    <t xml:space="preserve">Taiwan</t>
  </si>
  <si>
    <t xml:space="preserve">Information Technology</t>
  </si>
  <si>
    <t xml:space="preserve">Indonesia</t>
  </si>
  <si>
    <t xml:space="preserve">Communication Services</t>
  </si>
  <si>
    <t xml:space="preserve">Consumer Staples</t>
  </si>
  <si>
    <t xml:space="preserve">Singapore</t>
  </si>
  <si>
    <t xml:space="preserve">Real Estate</t>
  </si>
  <si>
    <t xml:space="preserve">Total</t>
  </si>
  <si>
    <t xml:space="preserve">Pass = top half of the country-sector by final score, ties included. Ties for the top spot show the first company listed; see 'All scored' for full ranks.</t>
  </si>
  <si>
    <t xml:space="preserve">Sources: fiscal-2025 annual reports from official exchange filing sites (Nasdaq Copenhagen, MOPS, SGX) or company websites; 20-Fs from SEC EDGAR for Genmab, Alcon and Telkom.</t>
  </si>
  <si>
    <t xml:space="preserve">Rank</t>
  </si>
  <si>
    <t xml:space="preserve">Ticker</t>
  </si>
  <si>
    <t xml:space="preserve">Company</t>
  </si>
  <si>
    <t xml:space="preserve">Final score</t>
  </si>
  <si>
    <t xml:space="preserve">Strongest theme</t>
  </si>
  <si>
    <t xml:space="preserve">DANSKE.CO</t>
  </si>
  <si>
    <t xml:space="preserve">Danske Bank</t>
  </si>
  <si>
    <t xml:space="preserve">Community 3 from Leadership development programme for employees, expanded in 2025 and m</t>
  </si>
  <si>
    <t xml:space="preserve">ALSYDB.CO</t>
  </si>
  <si>
    <t xml:space="preserve">AL Sydbank A/S</t>
  </si>
  <si>
    <t xml:space="preserve">Cross-cultural 2 from Dedicated Sunflower phone line where trained staff assist customers wi</t>
  </si>
  <si>
    <t xml:space="preserve">DEMANT.CO</t>
  </si>
  <si>
    <t xml:space="preserve">Demant</t>
  </si>
  <si>
    <t xml:space="preserve">Cross-cultural 4 from Core business sells hearing aids (assistive technology) and runs clini</t>
  </si>
  <si>
    <t xml:space="preserve">HLUN-B.CO</t>
  </si>
  <si>
    <t xml:space="preserve">Lundbeck</t>
  </si>
  <si>
    <t xml:space="preserve">Community 3 from Enterprise Leadership Program rolled out to train and develop the comp</t>
  </si>
  <si>
    <t xml:space="preserve">BAVA.CO</t>
  </si>
  <si>
    <t xml:space="preserve">Bavarian Nordic</t>
  </si>
  <si>
    <t xml:space="preserve">Cross-cultural 3 from Lowest-price mpox vaccine access for low- and lower-middle-income coun</t>
  </si>
  <si>
    <t xml:space="preserve">VWS.CO</t>
  </si>
  <si>
    <t xml:space="preserve">Vestas Wind Systems</t>
  </si>
  <si>
    <t xml:space="preserve">Entrepreneurship 2 from Technical training, capacity building and entrepreneurship courses for</t>
  </si>
  <si>
    <t xml:space="preserve">DNORD.CO</t>
  </si>
  <si>
    <t xml:space="preserve">D/S Norden</t>
  </si>
  <si>
    <t xml:space="preserve">Cross-cultural 2 from Bias-mitigating recruitment practices, including diverse panels and a </t>
  </si>
  <si>
    <t xml:space="preserve">MAERSK-B.CO</t>
  </si>
  <si>
    <t xml:space="preserve">Maersk</t>
  </si>
  <si>
    <t xml:space="preserve">Cross-cultural 2 from Whistleblower mechanism available in many languages for employees and </t>
  </si>
  <si>
    <t xml:space="preserve">STMN.SW</t>
  </si>
  <si>
    <t xml:space="preserve">Straumann</t>
  </si>
  <si>
    <t xml:space="preserve">Community 3 from Global clinical education programme for dental professionals, run with</t>
  </si>
  <si>
    <t xml:space="preserve">SOON.SW</t>
  </si>
  <si>
    <t xml:space="preserve">Sonova</t>
  </si>
  <si>
    <t xml:space="preserve">Cross-cultural 3 from Global employee resource groups, including OutLoud and Hearing Loss ne</t>
  </si>
  <si>
    <t xml:space="preserve">GALD.SW</t>
  </si>
  <si>
    <t xml:space="preserve">Galderma Group</t>
  </si>
  <si>
    <t xml:space="preserve">Community 3 from Galderma Aesthetic Injector Network (GAIN), a global hands-on clinical</t>
  </si>
  <si>
    <t xml:space="preserve">SCHN.SW</t>
  </si>
  <si>
    <t xml:space="preserve">Schindler Group</t>
  </si>
  <si>
    <t xml:space="preserve">Cross-cultural 2 from Accessibility features (induction loops, voice signaling, Braille) ins</t>
  </si>
  <si>
    <t xml:space="preserve">ACLN.SW</t>
  </si>
  <si>
    <t xml:space="preserve">Accelleron Industries</t>
  </si>
  <si>
    <t xml:space="preserve">Community 3 from Group-wide employee-led community engagement program of volunteering a</t>
  </si>
  <si>
    <t xml:space="preserve">GIVN.SW</t>
  </si>
  <si>
    <t xml:space="preserve">Givaudan</t>
  </si>
  <si>
    <t xml:space="preserve">Cross-cultural 3 from Employee Community Groups for women, ethnic groups and LGBTQIA+ employ</t>
  </si>
  <si>
    <t xml:space="preserve">DSFIR.AS</t>
  </si>
  <si>
    <t xml:space="preserve">DSM-Firmenich</t>
  </si>
  <si>
    <t xml:space="preserve">Creativity 3 from Perfumery &amp; Beauty business unit creates fragrances for global and loc</t>
  </si>
  <si>
    <t xml:space="preserve">2881.TW</t>
  </si>
  <si>
    <t xml:space="preserve">Fubon Financial</t>
  </si>
  <si>
    <t xml:space="preserve">Cross-cultural 3 from Fubon Artistic Achievement Awards for the Disabled and All-Love Orches</t>
  </si>
  <si>
    <t xml:space="preserve">2887.TW</t>
  </si>
  <si>
    <t xml:space="preserve">TS Financial Holding (formerly Taishin Financial Holdings)</t>
  </si>
  <si>
    <t xml:space="preserve">Cross-cultural 3 from Nationwide ATM upgrade adding enlarged-font and barrier-free cardless </t>
  </si>
  <si>
    <t xml:space="preserve">2883.TW</t>
  </si>
  <si>
    <t xml:space="preserve">KGI Financial Holding</t>
  </si>
  <si>
    <t xml:space="preserve">Entrepreneurship 3 from 'Local Revitalizer+' program: skilled employee volunteers coach local </t>
  </si>
  <si>
    <t xml:space="preserve">2357.TW</t>
  </si>
  <si>
    <t xml:space="preserve">ASUS</t>
  </si>
  <si>
    <t xml:space="preserve">Cross-cultural 3 from Sponsoring instructor fees for an art collective of autistic youth and</t>
  </si>
  <si>
    <t xml:space="preserve">2454.TW</t>
  </si>
  <si>
    <t xml:space="preserve">MediaTek</t>
  </si>
  <si>
    <t xml:space="preserve">Community 3 from Nanzhou Sustainable Plan: sponsored education and culture program in a</t>
  </si>
  <si>
    <t xml:space="preserve">2395.TW</t>
  </si>
  <si>
    <t xml:space="preserve">Advantech</t>
  </si>
  <si>
    <t xml:space="preserve">Community 3 from Advantech Foundation funds arts and culture promotion, sustainable edu</t>
  </si>
  <si>
    <t xml:space="preserve">3481.TW</t>
  </si>
  <si>
    <t xml:space="preserve">Innolux</t>
  </si>
  <si>
    <t xml:space="preserve">Community 3 from Net Zero Education Walk Start Plan: environmental education courses an</t>
  </si>
  <si>
    <t xml:space="preserve">3034.TW</t>
  </si>
  <si>
    <t xml:space="preserve">Novatek Microelectronics</t>
  </si>
  <si>
    <t xml:space="preserve">Community 3 from Novatek Educational Foundation scholarships for science education and </t>
  </si>
  <si>
    <t xml:space="preserve">EMTK.JK</t>
  </si>
  <si>
    <t xml:space="preserve">Elang Mahkota Teknologi</t>
  </si>
  <si>
    <t xml:space="preserve">Creativity 4 from Operates leading free-to-air TV networks (SCTV, Indosiar, MOJI, Mentar</t>
  </si>
  <si>
    <t xml:space="preserve">TLK</t>
  </si>
  <si>
    <t xml:space="preserve">Telkom Indonesia</t>
  </si>
  <si>
    <t xml:space="preserve">Creativity 3 from Dedicated digital content subsidiary (Nuon) running games, music and d</t>
  </si>
  <si>
    <t xml:space="preserve">AALI.JK</t>
  </si>
  <si>
    <t xml:space="preserve">Astra Agro Lestari</t>
  </si>
  <si>
    <t xml:space="preserve">Entrepreneurship 3 from Village entrepreneurship programs, agricultural processing training, b</t>
  </si>
  <si>
    <t xml:space="preserve">HMSP.JK</t>
  </si>
  <si>
    <t xml:space="preserve">Sampoerna</t>
  </si>
  <si>
    <t xml:space="preserve">Entrepreneurship 3 from Sampoerna Entrepreneurship Training Center (SETC) runs entrepreneurshi</t>
  </si>
  <si>
    <t xml:space="preserve">BMRI.JK</t>
  </si>
  <si>
    <t xml:space="preserve">Bank Mandiri</t>
  </si>
  <si>
    <t xml:space="preserve">Entrepreneurship 4 from Rumah BUMN centres providing training, capacity building and digitalis</t>
  </si>
  <si>
    <t xml:space="preserve">U11.SI</t>
  </si>
  <si>
    <t xml:space="preserve">UOB</t>
  </si>
  <si>
    <t xml:space="preserve">Creativity 3 from Runs the UOB Painting of the Year and UOB Art in Ink Awards, regional </t>
  </si>
  <si>
    <t xml:space="preserve">O39.SI</t>
  </si>
  <si>
    <t xml:space="preserve">OCBC Bank</t>
  </si>
  <si>
    <t xml:space="preserve">Cross-cultural 3 from Dialect-speaking branch ambassadors for seniors and accessible app tex</t>
  </si>
  <si>
    <t xml:space="preserve">D05.SI</t>
  </si>
  <si>
    <t xml:space="preserve">DBS Group</t>
  </si>
  <si>
    <t xml:space="preserve">Community 4 from DBS Foundation programmes and partnerships supporting vulnerable commu</t>
  </si>
  <si>
    <t xml:space="preserve">S58.SI</t>
  </si>
  <si>
    <t xml:space="preserve">SATS</t>
  </si>
  <si>
    <t xml:space="preserve">Community 3 from SATS Foundation funds registered charity programmes in Singapore, main</t>
  </si>
  <si>
    <t xml:space="preserve">C6L.SI</t>
  </si>
  <si>
    <t xml:space="preserve">Singapore Airlines</t>
  </si>
  <si>
    <t xml:space="preserve">Community 3 from Singapore Airlines Foundation runs two flagship youth programmes (Yout</t>
  </si>
  <si>
    <t xml:space="preserve">C38U.SI</t>
  </si>
  <si>
    <t xml:space="preserve">CapitaLand Integrated Commercial Trust</t>
  </si>
  <si>
    <t xml:space="preserve">Cross-cultural 2 from Properties built to and certified under Singapore's BCA Universal Desi</t>
  </si>
  <si>
    <t xml:space="preserve">K71U.SI</t>
  </si>
  <si>
    <t xml:space="preserve">Keppel REIT</t>
  </si>
  <si>
    <t xml:space="preserve">Cross-cultural 2 from Training on unconscious bias and inclusive leadership for employees</t>
  </si>
  <si>
    <t xml:space="preserve">Snapshot of the 'Values result' column on Oct 23, 2026 (sorted by country, sector, rank).</t>
  </si>
  <si>
    <t xml:space="preserve">Creativity (0-5)</t>
  </si>
  <si>
    <t xml:space="preserve">Community (0-5)</t>
  </si>
  <si>
    <t xml:space="preserve">Cross-cultural (0-5)</t>
  </si>
  <si>
    <t xml:space="preserve">Entrepreneurship (0-5)</t>
  </si>
  <si>
    <t xml:space="preserve">Alignment score (0-100)</t>
  </si>
  <si>
    <t xml:space="preserve">Red flag deduction</t>
  </si>
  <si>
    <t xml:space="preserve">Country-sector rank</t>
  </si>
  <si>
    <t xml:space="preserve">Values result</t>
  </si>
  <si>
    <t xml:space="preserve">Red flags</t>
  </si>
  <si>
    <t xml:space="preserve">Third component (TBD)</t>
  </si>
  <si>
    <t xml:space="preserve">Thin-coverage themes</t>
  </si>
  <si>
    <t xml:space="preserve">Score source</t>
  </si>
  <si>
    <t xml:space="preserve">Document</t>
  </si>
  <si>
    <t xml:space="preserve">Fiscal year</t>
  </si>
  <si>
    <t xml:space="preserve">Source site</t>
  </si>
  <si>
    <t xml:space="preserve">Report link</t>
  </si>
  <si>
    <t xml:space="preserve">Language</t>
  </si>
  <si>
    <t xml:space="preserve">Words read</t>
  </si>
  <si>
    <t xml:space="preserve">Notes</t>
  </si>
  <si>
    <t xml:space="preserve">Flags for review</t>
  </si>
  <si>
    <t xml:space="preserve">Annual report 2025</t>
  </si>
  <si>
    <t xml:space="preserve">Annual report</t>
  </si>
  <si>
    <t xml:space="preserve">2025</t>
  </si>
  <si>
    <t xml:space="preserve">company website</t>
  </si>
  <si>
    <t xml:space="preserve">https://danskebank.com/-/media/danske-bank-com/file-cloud/2026/2/annual-report-2025.pdf?rev=16af459cfa094b8ab365a911a324f7f2</t>
  </si>
  <si>
    <t xml:space="preserve">English</t>
  </si>
  <si>
    <t xml:space="preserve">Top half of Denmark Financials; Community 3 from Leadership development programme for employees, expanded in 2025 and m; red flag: none; Discloses internally substantiated discrimination/harassment cases; not a red flag under the rule.</t>
  </si>
  <si>
    <t xml:space="preserve">Nasdaq Copenhagen company announcements</t>
  </si>
  <si>
    <t xml:space="preserve">https://attachment.news.eu.nasdaq.com/a636006377807c5474acd3b1ab00500e5</t>
  </si>
  <si>
    <t xml:space="preserve">Top half of Denmark Financials; Cross-cultural 2 from Dedicated Sunflower phone line where trained staff assist customers wi; red flag: none</t>
  </si>
  <si>
    <t xml:space="preserve">JYSK.CO</t>
  </si>
  <si>
    <t xml:space="preserve">Jyske Bank</t>
  </si>
  <si>
    <t xml:space="preserve">https://attachment.news.eu.nasdaq.com/a11687649947912d72fafbdc8f0845e19</t>
  </si>
  <si>
    <t xml:space="preserve">Not in top half of Denmark Financials; Cross-cultural 2 from Participation in the Sunflower programme to support customers with inv; red flag: none</t>
  </si>
  <si>
    <t xml:space="preserve">TOC fallback (no usable table of contents): keyword paragraphs across the whole report; skipped 32 of 264 pages (risk, number pages, financial statements from page 257, except 8 governance/sustainability page(s) after them)</t>
  </si>
  <si>
    <t xml:space="preserve">DJUR.CO</t>
  </si>
  <si>
    <t xml:space="preserve">Djurslands Bank A/S</t>
  </si>
  <si>
    <t xml:space="preserve">community, cross-cultural</t>
  </si>
  <si>
    <t xml:space="preserve">https://attachment.news.eu.nasdaq.com/a610db5d4df88710ac547817939aacd8f</t>
  </si>
  <si>
    <t xml:space="preserve">Non-English</t>
  </si>
  <si>
    <t xml:space="preserve">Not in top half of Denmark Financials; Community 2 from Structured professional and personal skills development for all employ; red flag: none; non-English source</t>
  </si>
  <si>
    <t xml:space="preserve">coverage insufficient (community, cross_cultural); second look: no standalone report found</t>
  </si>
  <si>
    <t xml:space="preserve">https://assets-we.cas.dgs.com/-/media/demant/shared/new-library-2022/financial-reports/annual-report-english/demant-annual-report-2025.pdf?la=en&amp;rev=AE32&amp;hash=F68551D4B2CB09858AD389A748D55FF6</t>
  </si>
  <si>
    <t xml:space="preserve">Top half of Denmark Health Care; Cross-cultural 4 from Core business sells hearing aids (assistive technology) and runs clini; red flag: none; Discloses internally substantiated discrimination and/or harassment cases; not a red flag under the rule.</t>
  </si>
  <si>
    <t xml:space="preserve">https://www.lundbeck.com/content/dam/lundbeck-com/masters/global-site/annual-reporting/2025/Lundbeck_Annual_Report_2025.pdf</t>
  </si>
  <si>
    <t xml:space="preserve">Top half of Denmark Health Care; Community 3 from Enterprise Leadership Program rolled out to train and develop the comp; red flag: none; Discloses internally substantiated harassment and/or discrimination cases; not a red flag under the rule.</t>
  </si>
  <si>
    <t xml:space="preserve">E5: figure(s) not found near the quote, removed: 93
community: needs human review: figure(s) removed from cited evidence E5; the level may be lower</t>
  </si>
  <si>
    <t xml:space="preserve">https://www.bavarian-nordic.com/media/380028/bn_annual_report_2025.pdf</t>
  </si>
  <si>
    <t xml:space="preserve">Top half of Denmark Health Care; Cross-cultural 3 from Lowest-price mpox vaccine access for low- and lower-middle-income coun; red flag: none; Discloses internally substantiated discrimination, including harassment cases; not a red flag under the rule.</t>
  </si>
  <si>
    <t xml:space="preserve">ZEAL.CO</t>
  </si>
  <si>
    <t xml:space="preserve">Zealand Pharma</t>
  </si>
  <si>
    <t xml:space="preserve">https://www.zealandpharma.com/media/2oeew4jl/zealand-pharma-annual-report-2025.pdf</t>
  </si>
  <si>
    <t xml:space="preserve">Not in top half of Denmark Health Care; Cross-cultural 2 from Inclusiveness Index built into the employee engagement survey to give ; red flag: none</t>
  </si>
  <si>
    <t xml:space="preserve">CHEMM.CO</t>
  </si>
  <si>
    <t xml:space="preserve">ChemoMetec</t>
  </si>
  <si>
    <t xml:space="preserve">https://attachment.news.eu.nasdaq.com/a772ca2d52624dd57c81a282b8e1fb8aa</t>
  </si>
  <si>
    <t xml:space="preserve">Not in top half of Denmark Health Care; no theme above 1; red flag: none</t>
  </si>
  <si>
    <t xml:space="preserve">GMAB</t>
  </si>
  <si>
    <t xml:space="preserve">Genmab</t>
  </si>
  <si>
    <t xml:space="preserve">20-F 2025</t>
  </si>
  <si>
    <t xml:space="preserve">20-F</t>
  </si>
  <si>
    <t xml:space="preserve">SEC EDGAR</t>
  </si>
  <si>
    <t xml:space="preserve">https://www.sec.gov/Archives/edgar/data/1434265/000143426526000014/gmab-20251231_d2.htm</t>
  </si>
  <si>
    <t xml:space="preserve">https://www.vestas.com/content/dam/vestas-com/global/en/investor/reports-and-presentations/financial/2025/fy-2025/Vestas%20Annual%20Report%202025.pdf.coredownload.inline.pdf</t>
  </si>
  <si>
    <t xml:space="preserve">Top half of Denmark Industrials; Entrepreneurship 2 from Technical training, capacity building and entrepreneurship courses for; red flag: none; Discloses internally substantiated discrimination/harassment/labour rights (ethicsline social and human rights complaints) cases; not a red flag under the rule.</t>
  </si>
  <si>
    <t xml:space="preserve">https://attachment.news.eu.nasdaq.com/ac6824c31a47a615477d702aedbbdb9ad#esef</t>
  </si>
  <si>
    <t xml:space="preserve">Top half of Denmark Industrials; Cross-cultural 2 from Bias-mitigating recruitment practices, including diverse panels and a ; red flag: none</t>
  </si>
  <si>
    <t xml:space="preserve">https://attachment.news.eu.nasdaq.com/aa5bc3ccc5e259aa01dbe8bff4f0995b1</t>
  </si>
  <si>
    <t xml:space="preserve">Top half of Denmark Industrials; Cross-cultural 2 from Whistleblower mechanism available in many languages for employees and ; red flag: none; Discloses internally substantiated discrimination cases; not a red flag under the rule.</t>
  </si>
  <si>
    <t xml:space="preserve">NTG.CO</t>
  </si>
  <si>
    <t xml:space="preserve">NTG Nordic Transport Group A/S</t>
  </si>
  <si>
    <t xml:space="preserve">https://attachment.news.eu.nasdaq.com/a35279cd1e1c3779db793f83af61e92e8</t>
  </si>
  <si>
    <t xml:space="preserve">Not in top half of Denmark Industrials; Community 2 from New central People &amp; Culture function to develop employees across the ; red flag: none</t>
  </si>
  <si>
    <t xml:space="preserve">https://www.straumann.com/content/dam/media-center/group/en/documents/annual-report/2025/Straumann_AR25.pdf</t>
  </si>
  <si>
    <t xml:space="preserve">Top half of Switzerland Health Care; Community 3 from Global clinical education programme for dental professionals, run with; red flag: none; Discloses internally substantiated discrimination and harassment cases; not a red flag under the rule.</t>
  </si>
  <si>
    <t xml:space="preserve">https://www.sonova.com/wp-content/uploads/2026/05/01_Sonova_AR_25-26_Full_Report_en.pdf</t>
  </si>
  <si>
    <t xml:space="preserve">Top half of Switzerland Health Care; Cross-cultural 3 from Global employee resource groups, including OutLoud and Hearing Loss ne; red flag: none</t>
  </si>
  <si>
    <t xml:space="preserve">https://www.galderma.com/sites/default/files/2026-03/galderma_ar_2025_consolidated-doc_8b_260304_-_full.pdf</t>
  </si>
  <si>
    <t xml:space="preserve">Top half of Switzerland Health Care; Community 3 from Galderma Aesthetic Injector Network (GAIN), a global hands-on clinical; red flag: none</t>
  </si>
  <si>
    <t xml:space="preserve">SDZ.SW</t>
  </si>
  <si>
    <t xml:space="preserve">Sandoz Group</t>
  </si>
  <si>
    <t xml:space="preserve">https://sandoz-com.cms.sandoz.com/sites/default/files/Media%20Documents/Sandoz%20Integrated%20Annual%20Report%202025.pdf</t>
  </si>
  <si>
    <t xml:space="preserve">Not in top half of Switzerland Health Care; Cross-cultural 3 from Access program for low- and middle-income countries: lower prices, lic; red flag: none; Discloses internally substantiated harassment cases; not a red flag under the rule.</t>
  </si>
  <si>
    <t xml:space="preserve">LONN.SW</t>
  </si>
  <si>
    <t xml:space="preserve">Lonza</t>
  </si>
  <si>
    <t xml:space="preserve">SGX company announcements (secondary listing</t>
  </si>
  <si>
    <t xml:space="preserve">) https://links.sgx.com/1.0.0/corporate-announcements/LJE7WPRJD5EBVAED/881490_Lonza%20Annual%20Report%202025.pdf</t>
  </si>
  <si>
    <t xml:space="preserve">Not in top half of Switzerland Health Care; Cross-cultural 2 from HR practice allowing employees to self-identify as transgender or not ; red flag: none</t>
  </si>
  <si>
    <t xml:space="preserve">ALC</t>
  </si>
  <si>
    <t xml:space="preserve">Alcon</t>
  </si>
  <si>
    <t xml:space="preserve">cross-cultural</t>
  </si>
  <si>
    <t xml:space="preserve">https://www.sec.gov/Archives/edgar/data/1167379/000116737926000014/alc-20251231.htm</t>
  </si>
  <si>
    <t xml:space="preserve">Not in top half of Switzerland Health Care; Entrepreneurship 2 from Alcon Seed Fund supports the Eye Pitch Live pitch competition where en; red flag: none</t>
  </si>
  <si>
    <t xml:space="preserve">coverage insufficient (cross_cultural); second look: no standalone report found</t>
  </si>
  <si>
    <t xml:space="preserve">https://group.schindler.com/content/dam/website/group/docs/investors/2025/2025-schindler-fy-group-review-en.pdf/_jcr_content/renditions/original./2025-schindler-fy-group-review-en.pdf</t>
  </si>
  <si>
    <t xml:space="preserve">Top half of Switzerland Industrials; Cross-cultural 2 from Accessibility features (induction loops, voice signaling, Braille) ins; red flag: none</t>
  </si>
  <si>
    <t xml:space="preserve">https://accelleron.com/content/dam/accelleronind/documents/investors/accelleron-annual-report-2025.pdf</t>
  </si>
  <si>
    <t xml:space="preserve">Top half of Switzerland Industrials; Community 3 from Group-wide employee-led community engagement program of volunteering a; red flag: none</t>
  </si>
  <si>
    <t xml:space="preserve">BEAN.SW</t>
  </si>
  <si>
    <t xml:space="preserve">BELIMO Holding</t>
  </si>
  <si>
    <t xml:space="preserve">https://report.belimo.com/ar25/app/uploads/Annual-Report-2025.pdf</t>
  </si>
  <si>
    <t xml:space="preserve">Not in top half of Switzerland Industrials; Cross-cultural 3 from Participation in disability employment programs that bring people with; red flag: none</t>
  </si>
  <si>
    <t xml:space="preserve">GEBN.SW</t>
  </si>
  <si>
    <t xml:space="preserve">Geberit</t>
  </si>
  <si>
    <t xml:space="preserve">https://reports.geberit.com/annual-report/2025/_assets/downloads/geberit-ar25-en-entire.pdf</t>
  </si>
  <si>
    <t xml:space="preserve">Not in top half of Switzerland Industrials; Community 2 from Internal GROW and LEAD talent and leadership development programmes fo; red flag: none; Discloses internally substantiated sexual harassment cases; not a red flag under the rule.</t>
  </si>
  <si>
    <t xml:space="preserve">https://www.givaudan.com/file/1366761/download</t>
  </si>
  <si>
    <t xml:space="preserve">Top half of Switzerland Materials; Cross-cultural 3 from Employee Community Groups for women, ethnic groups and LGBTQIA+ employ; red flag: none</t>
  </si>
  <si>
    <t xml:space="preserve">https://annualreport.dsm-firmenich.com/2025/_assets/downloads/entire-dsmfirmenich-iar25.pdf</t>
  </si>
  <si>
    <t xml:space="preserve">Top half of Switzerland Materials; Creativity 3 from Perfumery &amp; Beauty business unit creates fragrances for global and loc; red flag: none; Discloses internally substantiated discrimination and harassment cases; not a red flag under the rule.</t>
  </si>
  <si>
    <t xml:space="preserve">SIKA.SW</t>
  </si>
  <si>
    <t xml:space="preserve">Sika</t>
  </si>
  <si>
    <t xml:space="preserve">https://www.sika.com/dam/dms/corporate/media/glo-ar-25-annual-report.pdf</t>
  </si>
  <si>
    <t xml:space="preserve">Not in top half of Switzerland Materials; Cross-cultural 2 from Technical training and guidance for customers delivered in local langu; red flag: none; Discloses internally substantiated harassment cases; not a red flag under the rule.</t>
  </si>
  <si>
    <t xml:space="preserve">MOPS</t>
  </si>
  <si>
    <t xml:space="preserve">https://doc.twse.com.tw/pdf/2025_2881_20260612FE4_20261024_002816.pdf</t>
  </si>
  <si>
    <t xml:space="preserve">Top half of Taiwan Financials; Cross-cultural 3 from Fubon Artistic Achievement Awards for the Disabled and All-Love Orches; red flag: none</t>
  </si>
  <si>
    <t xml:space="preserve">https://doc.twse.com.tw/pdf/2025_2887_20260612FE4_20261024_001741.pdf</t>
  </si>
  <si>
    <t xml:space="preserve">Top half of Taiwan Financials; Cross-cultural 3 from Nationwide ATM upgrade adding enlarged-font and barrier-free cardless ; red flag: none</t>
  </si>
  <si>
    <t xml:space="preserve">TOC fallback (no usable table of contents): keyword paragraphs across the whole report; skipped 36 of 324 pages (risk, number pages, financial statements from page 325)</t>
  </si>
  <si>
    <t xml:space="preserve">https://doc.twse.com.tw/pdf/2025_2883_20260612FE4_20261024_002419.pdf</t>
  </si>
  <si>
    <t xml:space="preserve">Top half of Taiwan Financials; Entrepreneurship 3 from 'Local Revitalizer+' program: skilled employee volunteers coach local ; red flag: none</t>
  </si>
  <si>
    <t xml:space="preserve">2884.TW</t>
  </si>
  <si>
    <t xml:space="preserve">E.SUN Financial Holding</t>
  </si>
  <si>
    <t xml:space="preserve">https://www.esunbank.com/en/-/media/ESUNFHC/Files/Investor-Relations/About-ESUN/Annual-Reports/Annual-Reports-FHC/esunfhc_annual_2025</t>
  </si>
  <si>
    <t xml:space="preserve">Not in top half of Taiwan Financials; Entrepreneurship 3 from Financial inclusion loan products, including micro-enterprise, young e; red flag: none</t>
  </si>
  <si>
    <t xml:space="preserve">2890.TW</t>
  </si>
  <si>
    <t xml:space="preserve">Sinopac Financial Holdings</t>
  </si>
  <si>
    <t xml:space="preserve">https://doc.twse.com.tw/pdf/2025_2890_20260526FE4_20261024_014510.pdf</t>
  </si>
  <si>
    <t xml:space="preserve">Not in top half of Taiwan Financials; Community 3 from Company-wide employee training framework, including the SinoPac Univer; red flag: none</t>
  </si>
  <si>
    <t xml:space="preserve">2885.TW</t>
  </si>
  <si>
    <t xml:space="preserve">Yuanta Financial Holding</t>
  </si>
  <si>
    <t xml:space="preserve">https://www.yuanta.com/Files/970ac88b-be51-4dbd-8070-c3c680efcebe/YFH2025_E.pdf</t>
  </si>
  <si>
    <t xml:space="preserve">Not in top half of Taiwan Financials; Community 3 from Yuanta Cultural and Educational Foundation runs a group-wide public we; red flag: none</t>
  </si>
  <si>
    <t xml:space="preserve">https://www.asus.com/EVENT/Investor/Content/attachment_en/2025_Annual_Report_en.pdf</t>
  </si>
  <si>
    <t xml:space="preserve">Top half of Taiwan Information Technology; Cross-cultural 3 from Sponsoring instructor fees for an art collective of autistic youth and; red flag: none; Discloses internally substantiated unspecified human rights risk incidents (harassment and workplace bullying handling described) cases; not a red flag under the rule.</t>
  </si>
  <si>
    <t xml:space="preserve">https://www.mediatek.com/hubfs/728015/MediaTek%20Assets/Pdfs/Annual%20Reports/2025-English-Annual-Report.pdf</t>
  </si>
  <si>
    <t xml:space="preserve">Top half of Taiwan Information Technology; Community 3 from Nanzhou Sustainable Plan: sponsored education and culture program in a; red flag: none</t>
  </si>
  <si>
    <t xml:space="preserve">https://doc.twse.com.tw/pdf/2025_2395_20260529FE4_20261024_015050.pdf</t>
  </si>
  <si>
    <t xml:space="preserve">Top half of Taiwan Information Technology; Community 3 from Advantech Foundation funds arts and culture promotion, sustainable edu; red flag: none</t>
  </si>
  <si>
    <t xml:space="preserve">https://doc.twse.com.tw/pdf/2025_3481_20260527FE4_20261024_015318.pdf</t>
  </si>
  <si>
    <t xml:space="preserve">Top half of Taiwan Information Technology; Community 3 from Net Zero Education Walk Start Plan: environmental education courses an; red flag: none</t>
  </si>
  <si>
    <t xml:space="preserve">https://www.novatek.com.tw/upload/website/_2025 Annual Report_e_26050614_856.pdf</t>
  </si>
  <si>
    <t xml:space="preserve">Top half of Taiwan Information Technology; Community 3 from Novatek Educational Foundation scholarships for science education and ; red flag: none</t>
  </si>
  <si>
    <t xml:space="preserve">3008.TW</t>
  </si>
  <si>
    <t xml:space="preserve">Largan Precision</t>
  </si>
  <si>
    <t xml:space="preserve">https://www.largan.com.tw/en/tool-download/page_en_size/file/204/2025%20Company%20Annual%20Report</t>
  </si>
  <si>
    <t xml:space="preserve">Not in top half of Taiwan Information Technology; Community 3 from Campus seminars held at schools to connect students with industry; red flag: none</t>
  </si>
  <si>
    <t xml:space="preserve">2408.TW</t>
  </si>
  <si>
    <t xml:space="preserve">Nanya Technology</t>
  </si>
  <si>
    <t xml:space="preserve">https://doc.twse.com.tw/pdf/2025_2408_20260521FE4_20261024_003738.pdf</t>
  </si>
  <si>
    <t xml:space="preserve">Not in top half of Taiwan Information Technology; Community 3 from Partners with schools to deliver sustainability education to students; red flag: none</t>
  </si>
  <si>
    <t xml:space="preserve">3443.TW</t>
  </si>
  <si>
    <t xml:space="preserve">Global Unichip Corp.</t>
  </si>
  <si>
    <t xml:space="preserve">https://www.guc-asic.com/upload/2026_04_16/8_202604161551145dnuwxrHk5.pdf</t>
  </si>
  <si>
    <t xml:space="preserve">Not in top half of Taiwan Information Technology; Cross-cultural 2 from On-site massage service staffed by visually impaired workers from a lo; red flag: none; Discloses internally substantiated harassment cases; not a red flag under the rule.</t>
  </si>
  <si>
    <t xml:space="preserve">https://cms.emtek.co.id/media/annual_report_attachment_en/gcib/AR-EMTEK-2025.pdf</t>
  </si>
  <si>
    <t xml:space="preserve">Top half of Indonesia Communication Services; Creativity 4 from Operates leading free-to-air TV networks (SCTV, Indosiar, MOJI, Mentar; red flag: none; non-English source</t>
  </si>
  <si>
    <t xml:space="preserve">E13: figure(s) not found near the quote, removed: 513.884</t>
  </si>
  <si>
    <t xml:space="preserve">https://www.sec.gov/Archives/edgar/data/1001807/000110465926062051/tmb-20251231x20f.htm</t>
  </si>
  <si>
    <t xml:space="preserve">Top half of Indonesia Communication Services; Creativity 3 from Dedicated digital content subsidiary (Nuon) running games, music and d; red flag: none</t>
  </si>
  <si>
    <t xml:space="preserve">DNET.JK</t>
  </si>
  <si>
    <t xml:space="preserve">Indoritel</t>
  </si>
  <si>
    <t xml:space="preserve">https://www.indoritel.co.id/storage/files/pdf/AR%20Indoritel%202025_%20ok%20_1777368195.pdf</t>
  </si>
  <si>
    <t xml:space="preserve">Not in top half of Indonesia Communication Services; Entrepreneurship 2 from Indomaret (associate) gives local MSMEs access to sell their products ; red flag: none; non-English source</t>
  </si>
  <si>
    <t xml:space="preserve">https://www.astra-agro.co.id/wp-content/uploads/2026/03/AR-2025-AALI-web.pdf</t>
  </si>
  <si>
    <t xml:space="preserve">Top half of Indonesia Consumer Staples; Entrepreneurship 3 from Village entrepreneurship programs, agricultural processing training, b; red flag: none; non-English source</t>
  </si>
  <si>
    <t xml:space="preserve">E1: figure(s) not found near the quote, removed: 256, 230, 2,081
community: needs human review: figure(s) removed from cited evidence E1; the level may be lower
entrepreneurship: needs human review: figure(s) removed from cited evidence E1; the level may be lower</t>
  </si>
  <si>
    <t xml:space="preserve">tobacco</t>
  </si>
  <si>
    <t xml:space="preserve">https://www.sampoerna.com/content/dam/pmicom/affiliates/sampoerna/docs/annua-report-and-sustainability-report-2025.pdf</t>
  </si>
  <si>
    <t xml:space="preserve">Top half of Indonesia Consumer Staples; Entrepreneurship 3 from Sampoerna Entrepreneurship Training Center (SETC) runs entrepreneurshi; red flag: tobacco; non-English source; Discloses internally substantiated unspecified compliance violations cases; not a red flag under the rule.</t>
  </si>
  <si>
    <t xml:space="preserve">TOC fallback (chapters from the printed contents page hold only 601 words): keyword paragraphs across the whole report; skipped 98 of 491 pages (risk, number pages, financial statements from page 284, except 114 governance/sustainability page(s) after them)</t>
  </si>
  <si>
    <t xml:space="preserve">INDF.JK</t>
  </si>
  <si>
    <t xml:space="preserve">Indofood</t>
  </si>
  <si>
    <t xml:space="preserve">https://www.indofood.com/uploads/annual/AR_ISM_2025_web.pdf</t>
  </si>
  <si>
    <t xml:space="preserve">Not in top half of Indonesia Consumer Staples; Cross-cultural 2 from Lactation rooms for breastfeeding mothers at operational units; red flag: none; non-English source</t>
  </si>
  <si>
    <t xml:space="preserve">TOC fallback (chapters from the printed contents page hold only 1,079 words): keyword paragraphs across the whole report; skipped 167 of 298 pages (risk, number pages, financial statements from page 137)</t>
  </si>
  <si>
    <t xml:space="preserve">GGRM.JK</t>
  </si>
  <si>
    <t xml:space="preserve">Gudang Garam</t>
  </si>
  <si>
    <t xml:space="preserve">https://www.gudanggaramtbk.com/media/uploads/files/GGRM_AR_2025_FINAL.pdf</t>
  </si>
  <si>
    <t xml:space="preserve">Not in top half of Indonesia Consumer Staples; Community 3 from Corporate social responsibility spending on education, infrastructure,; red flag: tobacco; non-English source</t>
  </si>
  <si>
    <t xml:space="preserve">https://www.bankmandiri.co.id/documents/38265486/0/%5BFINAL+-+2904%5D+ANNUAL+REPORT+BMRI+2025+%281%29.pdf/da87ca86-a02b-f394-b2e4-1ff3f268c0ee?t=1777514285182</t>
  </si>
  <si>
    <t xml:space="preserve">Top half of Indonesia Financials; Entrepreneurship 4 from Rumah BUMN centres providing training, capacity building and digitalis; red flag: none</t>
  </si>
  <si>
    <t xml:space="preserve">BBNI.JK</t>
  </si>
  <si>
    <t xml:space="preserve">Bank Negara Indonesia</t>
  </si>
  <si>
    <t xml:space="preserve">https://www.bni.co.id/Portals/1/BNI/Perusahaan/HubunganInvestor/Docs/BNI-AR-2025-IND.pdf</t>
  </si>
  <si>
    <t xml:space="preserve">Not in top half of Indonesia Financials; Entrepreneurship 3 from Rumah BUMN centres providing training, coaching and licensing help to ; red flag: none; non-English source</t>
  </si>
  <si>
    <t xml:space="preserve">E11: figure(s) not found near the quote, removed: 013
cross_cultural: needs human review: figure(s) removed from cited evidence E11; the level may be lower
TOC fallback (no usable table of contents): keyword paragraphs across the whole report; skipped 153 of 1602 pages (risk, number pages, financial statements from page 685, except 876 governance/sustainability page(s) after them)</t>
  </si>
  <si>
    <t xml:space="preserve">https://www.uobgroup.com/investor-relations/assets/pdfs/investor/annual/uob-annual-report-2025.pdf</t>
  </si>
  <si>
    <t xml:space="preserve">Top half of Singapore Financials; Creativity 3 from Runs the UOB Painting of the Year and UOB Art in Ink Awards, regional ; red flag: none</t>
  </si>
  <si>
    <t xml:space="preserve">https://www.ocbc.com/iwov-resources/sg/ocbc/gbc/pdf/investors/annual-reports/2025/2025-annual-report-en.pdf</t>
  </si>
  <si>
    <t xml:space="preserve">Top half of Singapore Financials; Cross-cultural 3 from Dialect-speaking branch ambassadors for seniors and accessible app tex; red flag: none</t>
  </si>
  <si>
    <t xml:space="preserve">TOC fallback (no usable table of contents): keyword paragraphs across the whole report; skipped 193 of 276 pages (risk, number pages, financial statements from page 97)</t>
  </si>
  <si>
    <t xml:space="preserve">https://www.dbs.com/annualreports/2025/i/pdf/dbs-ar-2025.pdf</t>
  </si>
  <si>
    <t xml:space="preserve">Top half of Singapore Financials; Community 4 from DBS Foundation programmes and partnerships supporting vulnerable commu; red flag: none</t>
  </si>
  <si>
    <t xml:space="preserve">S68.SI</t>
  </si>
  <si>
    <t xml:space="preserve">Singapore Exchange</t>
  </si>
  <si>
    <t xml:space="preserve">https://links.sgx.com/FileOpen/2025_SGX_Annual_Report.ashx?App=Announcement&amp;FileID=859054</t>
  </si>
  <si>
    <t xml:space="preserve">Not in top half of Singapore Financials; Community 3 from SGX Cares Bull Charge, an annual fundraising programme (Charity Run, C; red flag: none</t>
  </si>
  <si>
    <t xml:space="preserve">P15.SI</t>
  </si>
  <si>
    <t xml:space="preserve">Pacific Century Regional Developments</t>
  </si>
  <si>
    <t xml:space="preserve">SGX company announcements</t>
  </si>
  <si>
    <t xml:space="preserve">https://links.sgx.com/1.0.0/corporate-announcements/44JTWA0DH7EZYK4P/881221_PCRDL_Annual%20Report%202025.pdf</t>
  </si>
  <si>
    <t xml:space="preserve">Not in top half of Singapore Financials; Creativity 2 from Artiste management and live-event business at major associate PCCW (Vi; red flag: none</t>
  </si>
  <si>
    <t xml:space="preserve">TOC fallback (chapters from the printed contents page hold only 1,362 words): keyword paragraphs across the whole report; skipped 35 of 120 pages (risk, number pages, financial statements from page 41, except 49 governance/sustainability page(s) after them)</t>
  </si>
  <si>
    <t xml:space="preserve">Annual report 2026</t>
  </si>
  <si>
    <t xml:space="preserve">2026</t>
  </si>
  <si>
    <t xml:space="preserve">https://links.sgx.com/1.0.0/corporate-announcements/KDUEMRFCNK9XYXB6/895114_SATS_Annual_Report_FY2026.pdf</t>
  </si>
  <si>
    <t xml:space="preserve">Top half of Singapore Industrials; Community 3 from SATS Foundation funds registered charity programmes in Singapore, main; red flag: none</t>
  </si>
  <si>
    <t xml:space="preserve">TOC fallback (chapters from the printed contents page hold only 3,244 words): keyword paragraphs across the whole report; skipped 34 of 121 pages (risk, number pages, financial statements from page 94)</t>
  </si>
  <si>
    <t xml:space="preserve">https://links.sgx.com/1.0.0/corporate-announcements/CBBHM38X24NO0DHG/894198_Annual%20Report%20FY2025-26.pdf</t>
  </si>
  <si>
    <t xml:space="preserve">Top half of Singapore Industrials; Community 3 from Singapore Airlines Foundation runs two flagship youth programmes (Yout; red flag: none</t>
  </si>
  <si>
    <t xml:space="preserve">BN4.SI</t>
  </si>
  <si>
    <t xml:space="preserve">Keppel</t>
  </si>
  <si>
    <t xml:space="preserve">https://links.sgx.com/1.0.0/corporate-announcements/CMLEN559K1LSH1QR/880492_1.%20Keppel%20Ltd._Annual%20Report%202025.pdf</t>
  </si>
  <si>
    <t xml:space="preserve">Not in top half of Singapore Industrials; Community 3 from Social investment spending, including grants disbursed through the com; red flag: none</t>
  </si>
  <si>
    <t xml:space="preserve">TOC fallback (no usable table of contents): keyword paragraphs across the whole report; skipped 146 of 245 pages (risk, number pages, financial statements from page 105)</t>
  </si>
  <si>
    <t xml:space="preserve">NS8U.SI</t>
  </si>
  <si>
    <t xml:space="preserve">Hutchison Port Holdings Trust</t>
  </si>
  <si>
    <t xml:space="preserve">https://links.sgx.com/1.0.0/corporate-announcements/NJVPQZT3VFNIX7HM/882457_HPHT%20AR2025%20SGX.pdf</t>
  </si>
  <si>
    <t xml:space="preserve">Not in top half of Singapore Industrials; Cross-cultural 2 from Gold sponsorship of and employee participation in a disability-inclusi; red flag: none</t>
  </si>
  <si>
    <t xml:space="preserve">https://links.sgx.com/1.0.0/corporate-announcements/PY3VCKEQ8KS6R716/878885_2_CICT%20AR%202025_Final.pdf</t>
  </si>
  <si>
    <t xml:space="preserve">Top half of Singapore Real Estate; Cross-cultural 2 from Properties built to and certified under Singapore's BCA Universal Desi; red flag: none</t>
  </si>
  <si>
    <t xml:space="preserve">coverage insufficient (community, cross_cultural); second look: no standalone report found
TOC fallback (chapters from the pdf bookmarks (all levels) hold only 3,622 words): keyword paragraphs across the whole report; skipped 109 of 199 pages (risk, number pages, financial statements from page 97)</t>
  </si>
  <si>
    <t xml:space="preserve">https://www.keppelreit.com/file/investor-relations/publications/annual-reports/keppel-reit-ar25.pdf</t>
  </si>
  <si>
    <t xml:space="preserve">Top half of Singapore Real Estate; Cross-cultural 2 from Training on unconscious bias and inclusive leadership for employees; red flag: none</t>
  </si>
  <si>
    <t xml:space="preserve">TOC fallback (no usable table of contents): keyword paragraphs across the whole report; skipped 79 of 228 pages (risk, number pages, financial statements from page 112, except 48 governance/sustainability page(s) after them)</t>
  </si>
  <si>
    <t xml:space="preserve">A17U.SI</t>
  </si>
  <si>
    <t xml:space="preserve">CapitaLand Ascendas REIT</t>
  </si>
  <si>
    <t xml:space="preserve">https://links.sgx.com/1.0.0/corporate-announcements/VLMUR6L61OAEVKHB/881419_CLAR%20-%20AR%202025.pdf</t>
  </si>
  <si>
    <t xml:space="preserve">Not in top half of Singapore Real Estate; Community 2 from Training provided to the Manager's employees; red flag: none</t>
  </si>
  <si>
    <t xml:space="preserve">coverage insufficient (community, cross_cultural); second look: no standalone report found
TOC fallback (chapters from the printed contents page hold only 2,823 words): keyword paragraphs across the whole report; skipped 118 of 212 pages (risk, number pages, financial statements from page 110)</t>
  </si>
  <si>
    <t xml:space="preserve">BUOU.SI</t>
  </si>
  <si>
    <t xml:space="preserve">Frasers Logistics &amp; Commercial Trust</t>
  </si>
  <si>
    <t xml:space="preserve">community</t>
  </si>
  <si>
    <t xml:space="preserve">Annual report 2025 + standalone sustainability report (half weight)</t>
  </si>
  <si>
    <t xml:space="preserve">https://links.sgx.com/1.0.0/corporate-announcements/531D1L1A4ZGIBBAO/870400_FLCT%20-%20Annual%20Report%202025.pdf</t>
  </si>
  <si>
    <t xml:space="preserve">Not in top half of Singapore Real Estate; Community 2 from Employee-led community initiatives, including partnerships with the Re; red flag: none</t>
  </si>
  <si>
    <t xml:space="preserve">Blue = inputs from the AI scoring after the code's quote checks (theme scores 0-5; red flag deduction = 10 points per verified red flag). Black = formulas.</t>
  </si>
  <si>
    <t xml:space="preserve">Alignment = Creativity/5×35 + Community/5×30 + Cross-cultural/5×20 + Entrepreneurship/5×15. Final = Alignment − red flag deduction (not below 0).</t>
  </si>
  <si>
    <t xml:space="preserve">Rank = 1 + companies in the same country-sector with a higher final score (ties share a rank). Pass = rank within the top half: rank ≤ ceil(n/2), n = scored companies in the country-sector.</t>
  </si>
  <si>
    <t xml:space="preserve">Decimal theme scores (e.g. 2.5) come from the half-weight rule: standalone sustainability-report evidence counts at half weight. Third component: not decided yet (blank).</t>
  </si>
  <si>
    <t xml:space="preserve">Type</t>
  </si>
  <si>
    <t xml:space="preserve">Themes / flag</t>
  </si>
  <si>
    <t xml:space="preserve">Activity</t>
  </si>
  <si>
    <t xml:space="preserve">Quote (word for word, checked by code)</t>
  </si>
  <si>
    <t xml:space="preserve">English translation</t>
  </si>
  <si>
    <t xml:space="preserve">Section</t>
  </si>
  <si>
    <t xml:space="preserve">Source</t>
  </si>
  <si>
    <t xml:space="preserve">Evidence</t>
  </si>
  <si>
    <t xml:space="preserve">community: external_education</t>
  </si>
  <si>
    <t xml:space="preserve">Employees visit schools nationwide during Money Week to teach financial literacy classes</t>
  </si>
  <si>
    <t xml:space="preserve">During this week employees from AL Sydbank visit schools throughout the country to teach classes in financial literacy.</t>
  </si>
  <si>
    <t xml:space="preserve">Annual report &gt; S – Social Information &gt; AL Sydbank’s employees &gt; Focus on personal finances during Money Week</t>
  </si>
  <si>
    <t xml:space="preserve">filing</t>
  </si>
  <si>
    <t xml:space="preserve">cross_cultural: internal_practice</t>
  </si>
  <si>
    <t xml:space="preserve">Workplace aids for employees with special needs</t>
  </si>
  <si>
    <t xml:space="preserve">In addition the health and safety manual contains a description of various aids for employees with special needs.</t>
  </si>
  <si>
    <t xml:space="preserve">Annual report &gt; S – Social Information &gt; Well-being and security for employees</t>
  </si>
  <si>
    <t xml:space="preserve">cross_cultural: demographics_only</t>
  </si>
  <si>
    <t xml:space="preserve">Gender balance target for management positions met in 2025</t>
  </si>
  <si>
    <t xml:space="preserve">AL Sydbank’s overall objective is to achieve an equal gender balance among all managers and in 2025 we achieved the subtarget that the underrepresented gender will account for at least 35% of all employees in management positions in 2025.</t>
  </si>
  <si>
    <t xml:space="preserve">Annual report &gt; S – Social Information &gt; Diversity</t>
  </si>
  <si>
    <t xml:space="preserve">community: employee_development</t>
  </si>
  <si>
    <t xml:space="preserve">Competence mapping and talent development initiative for employees</t>
  </si>
  <si>
    <t xml:space="preserve">In 2025 determined efforts were made at AL Sydbank to identify employees’ competences and build the foundations for talent development.</t>
  </si>
  <si>
    <t xml:space="preserve">Annual report &gt; S – Social Information &gt; AL Sydbank’s employees &gt; Talent development</t>
  </si>
  <si>
    <t xml:space="preserve">Regional trust-building communication project with additional adviser training</t>
  </si>
  <si>
    <t xml:space="preserve">Advisers receive additional training in customer contact in order to strengthen their relationship with customers and ensure that advice is based on trust, understanding and being present.</t>
  </si>
  <si>
    <t xml:space="preserve">Annual report &gt; S – Social Information &gt; Trust-building communication as a strategic project</t>
  </si>
  <si>
    <t xml:space="preserve">Public 'Stop svindlerne' events teaching people to protect themselves against financial fraud</t>
  </si>
  <si>
    <t xml:space="preserve">AL Sydbank organises “Stop svindlerne” (Stop the fraudsters) events regularly where participants can learn how to protect themselves against financial fraud.</t>
  </si>
  <si>
    <t xml:space="preserve">Annual report &gt; S – Social Information &gt; Fighting crime &gt; Efforts to combat IT fraud</t>
  </si>
  <si>
    <t xml:space="preserve">community: community_investment</t>
  </si>
  <si>
    <t xml:space="preserve">Sponsorships of clubs, associations, students and unions nationwide, mainly team and grassroots sports</t>
  </si>
  <si>
    <t xml:space="preserve">AL Sydbank supports via sponsorships small and large clubs and associations, students and unions across the country – primarily within team sports and grassroot sports.</t>
  </si>
  <si>
    <t xml:space="preserve">Annual report &gt; Business model &gt; Local presence &gt; Local support</t>
  </si>
  <si>
    <t xml:space="preserve">Donations to charitable cultural, popular and educational purposes through several affiliated foundations</t>
  </si>
  <si>
    <t xml:space="preserve">AL Sydbank makes donations to charitable cultural, popular and educational purposes via the charitable foundations the Sydbank Foundation, Arbejdernes Landsbanks Fond, Trelleborg Fonden, Den Jyske Sparekasses Støttefonde, Jelling Sparekasses Fond, Fonden for Sparekassen Farsø as well as Fonden for Sparekassen i Skals.</t>
  </si>
  <si>
    <t xml:space="preserve">Proposed donation to the Sydbank Foundation, subject to the annual general meeting</t>
  </si>
  <si>
    <t xml:space="preserve">The Board of Directors will propose to the annual general meeting that a dividend of DKK 25 per share, totalling DKK 2,145m, be distributed and that DKK 18m be donated to the Sydbank Foundation.</t>
  </si>
  <si>
    <t xml:space="preserve">Annual report &gt; Financial review &gt; Proposed dividend</t>
  </si>
  <si>
    <t xml:space="preserve">cross_cultural: customer_access</t>
  </si>
  <si>
    <t xml:space="preserve">Dedicated Sunflower phone line where trained staff assist customers with special needs</t>
  </si>
  <si>
    <t xml:space="preserve">For instance, in 2025 we set up a special Sunflower line where customers are assisted by employees who are mindful that these customers have special needs.</t>
  </si>
  <si>
    <t xml:space="preserve">Annual report &gt; S – Social Information &gt; Digitalisation</t>
  </si>
  <si>
    <t xml:space="preserve">Digital banking platforms adapted for visually and hearing impaired customers</t>
  </si>
  <si>
    <t xml:space="preserve">We have also developed our digital platforms so that greater consideration is given to the visually impaired and the hearing impaired.</t>
  </si>
  <si>
    <t xml:space="preserve">Free cash deposits and withdrawals for all retail clients with a NemKonto account</t>
  </si>
  <si>
    <t xml:space="preserve">This also means that all retail clients with a NemKonto account at our bank have the possibility to deposit and withdraw money free of charge.</t>
  </si>
  <si>
    <t xml:space="preserve">Annual report &gt; Business model &gt; The Bank’s customers</t>
  </si>
  <si>
    <t xml:space="preserve">Joined the Sunflower programme for persons with invisible disabilities</t>
  </si>
  <si>
    <t xml:space="preserve">AL Sydbank has also joined the Sunflower programme – an international initiative to make it easier for persons with invisible disabilities to discreetly signal that they might need extra assistance or time.</t>
  </si>
  <si>
    <t xml:space="preserve">Annual report &gt; S – Social Information &gt; AL Sydbank’s employees &gt; Life phases and hidden disabilities</t>
  </si>
  <si>
    <t xml:space="preserve">Leadership development programme for employees, expanded in 2025 and made digitally accessible to all staff</t>
  </si>
  <si>
    <t xml:space="preserve">Our leadership development programme was expanded to build stronger leadership capabilities for strategic execution, seeing a 50% increase in participation, and we digitalised content from the programme to offer full digital accessibility for all employees.</t>
  </si>
  <si>
    <t xml:space="preserve">Annual report &gt; Management's report &gt; Strategy execution</t>
  </si>
  <si>
    <t xml:space="preserve">Danske Hverdag+ customer package for blind and visually impaired customers, built with the Danish Blind Society</t>
  </si>
  <si>
    <t xml:space="preserve">Danske Bank remains committed to collaborating with the Danish Blind Society (Dansk Blindesamfund) through the Danske Hverdag+ customer package, designed to support blind and visually impaired customers by providing tailored services.</t>
  </si>
  <si>
    <t xml:space="preserve">Annual report &gt; Sustainability Statement &gt; Consumers and end-users &gt; Financial literacy and inclusiveness</t>
  </si>
  <si>
    <t xml:space="preserve">Sunflower Programme: dedicated phone line and advisory-centre support for customers with hidden disabilities</t>
  </si>
  <si>
    <t xml:space="preserve">To help those of our customers who have hidden disabilities or special needs to get the right help and to feel confident when interacting with Danske Bank, we have launched our Sunflower Programme.</t>
  </si>
  <si>
    <t xml:space="preserve">Accessibility features for visually impaired customers in Finnish eBanking and mobile banking</t>
  </si>
  <si>
    <t xml:space="preserve">These include accessibility features such as voice-over and screen reader for visually impaired individuals in our eBanking and mobile banking solutions.</t>
  </si>
  <si>
    <t xml:space="preserve">entrepreneurship: serving</t>
  </si>
  <si>
    <t xml:space="preserve">Expanded collaboration with the European Investment Fund to support SME investment</t>
  </si>
  <si>
    <t xml:space="preserve">Lastly, we expanded our collaboration with the European Investment Fund to support small and medium-sized businesses investing in sustainability, innovation and digitalisation.</t>
  </si>
  <si>
    <t xml:space="preserve">Annual report &gt; Management's report &gt; Strategy execution &gt; Business Customers</t>
  </si>
  <si>
    <t xml:space="preserve">Graduate, apprenticeship and reskilling programmes for early-career employees</t>
  </si>
  <si>
    <t xml:space="preserve">Early-career employees are supported through dedicated graduate and apprenticeship programmes and reskilling programmes, all of which helps us to cultivate a diverse pipeline of future skills.</t>
  </si>
  <si>
    <t xml:space="preserve">Annual report &gt; Sustainability Statement &gt; Own workforce &gt; Training and skills development</t>
  </si>
  <si>
    <t xml:space="preserve">community: external_education; entrepreneurship: enabling</t>
  </si>
  <si>
    <t xml:space="preserve">Danske Bank advisers give financial education to secondary-school students and start-ups through two Fonden for Entreprenørskab programmes (Danish Entrepreneur Festival, Company Programme)</t>
  </si>
  <si>
    <t xml:space="preserve">In Denmark, Danske Bank supports two programmes through Fonden for Entreprenørskab (owned by the Danish Ministry of business) by providing financial education from Danske Bank advisers to students at secondary schools and to start-ups.</t>
  </si>
  <si>
    <t xml:space="preserve">Money Smart financial literacy programme for children and young adults in Northern Ireland</t>
  </si>
  <si>
    <t xml:space="preserve">In Northern Ireland, Danske Bank runs the Money Smart financial literacy programme, a module-based initiative covering topics such as the role of a bank, fraud, credit, budgeting and financial independence.</t>
  </si>
  <si>
    <t xml:space="preserve">Financial education for young people in Finland with the Deaconess Foundation</t>
  </si>
  <si>
    <t xml:space="preserve">In Finland, Danske Bank also supports the Deaconess Foundation by providing financial education to young people.</t>
  </si>
  <si>
    <t xml:space="preserve">Women's Academy: a six-to-eight-week programme for students, now with a Tech edition</t>
  </si>
  <si>
    <t xml:space="preserve">Furthermore, our Women’s Academy, which is a six-to-eight-week programme for students that aims to inspire, encourage and learn from young women interested in joining the banking sector, further seeks to attract and provide equal opportunities.</t>
  </si>
  <si>
    <t xml:space="preserve">Annual report &gt; Sustainability Statement &gt; Own workforce &gt; Equal treatment and opportunities</t>
  </si>
  <si>
    <t xml:space="preserve">Time2Give corporate volunteering: employees work with the Association for Senior Work to promote safe digital use by seniors</t>
  </si>
  <si>
    <t xml:space="preserve">Through the programme, employees are encouraged to collaborate with the Association for Senior Work to promote safe digital interactions for seniors.</t>
  </si>
  <si>
    <t xml:space="preserve">Annual report &gt; Sustainability Statement &gt; Consumers and end-users &gt; Financial inclusion &gt; Finland</t>
  </si>
  <si>
    <t xml:space="preserve">Employee resource groups, including Danske Rainbow Network, Internationals Community and Neurodiversity Community</t>
  </si>
  <si>
    <t xml:space="preserve">We support and encourage the establishment of employee resource groups, which are voluntary employee-led networks that spark conversations and learning. Such groups include Women in Danske, Danske Rainbow Network, Danske Bank Internationals Community, Neurodiversity Community, Danske Stress Network, Young Minds and Danske Babies.</t>
  </si>
  <si>
    <t xml:space="preserve">First Group-wide DE&amp;I Theme Week, with inclusion training and sessions on neurodiversity and LGBTQ+ topics</t>
  </si>
  <si>
    <t xml:space="preserve">In June 2025, Danske Bank also hosted its first global Group-wide DE&amp;I Theme Week with the theme Blueprint for Belonging.</t>
  </si>
  <si>
    <t xml:space="preserve">Internal finding (no deduction)</t>
  </si>
  <si>
    <t xml:space="preserve">rights_finding (found by: internal)</t>
  </si>
  <si>
    <t xml:space="preserve">Internal whistleblowing reports of discrimination, bullying or harassment logged in 2025. The report does not say how many were substantiated. It states no material fines, penalties or severe human rights incidents, and no outside finding. Recorded for the team's note only; it costs no points.</t>
  </si>
  <si>
    <t xml:space="preserve">In terms of incidents and complaints reported through our whistleblowing system, 26 incidents related to discrimination within the Group’s workforce were logged in 2025 (2024: 16 incidents).</t>
  </si>
  <si>
    <t xml:space="preserve">Annual report &gt; Sustainability Statement &gt; Own workforce &gt; Culture and Engagement Survey (CES)</t>
  </si>
  <si>
    <t xml:space="preserve">Structured professional and personal skills development for all employees, with job profiles, personal development plans and at least four yearly development meetings (SUM)</t>
  </si>
  <si>
    <t xml:space="preserve">Banken arbejder systematiseret med faglig og personlig kompetenceudvikling af de enkelte medarbejdere.</t>
  </si>
  <si>
    <t xml:space="preserve">The bank works systematically with the professional and personal skills development of individual employees.</t>
  </si>
  <si>
    <t xml:space="preserve">Annual report &gt; Ledelsesberetning &gt; Forretningsmodel og strategi &gt; Medarbejdere</t>
  </si>
  <si>
    <t xml:space="preserve">Takes in financial economist and finance bachelor students as interns every year, leading toward trainee positions</t>
  </si>
  <si>
    <t xml:space="preserve">Djurslands Bank prioriterer højt at tage ansvar for at uddanne fremtidens bankmedarbejdere, og vi tager hvert år imod finansøkonom- og finansbachelorstuderende i praktik.</t>
  </si>
  <si>
    <t xml:space="preserve">Djurslands Bank gives high priority to taking responsibility for educating future bank employees, and every year we take in financial economist and finance bachelor students as interns.</t>
  </si>
  <si>
    <t xml:space="preserve">Annual report &gt; Ledelsesberetning &gt; Forretningsmodel og strategi &gt; Strategiske kundegrupper &gt; For unge, af unge</t>
  </si>
  <si>
    <t xml:space="preserve">Sponsors local activities and associations, including naming sponsorships of sports arenas in four towns and main sponsorship of a handball club</t>
  </si>
  <si>
    <t xml:space="preserve">Vi er aktive i lokalsamfundet og støtter synligt lokale aktiviteter og foreninger.</t>
  </si>
  <si>
    <t xml:space="preserve">We are active in the local community and visibly support local activities and associations.</t>
  </si>
  <si>
    <t xml:space="preserve">Annual report &gt; Ledelsesberetning &gt; Samfundsansvar &gt; Lokalsamfundet</t>
  </si>
  <si>
    <t xml:space="preserve">Statutory gender-balance measures, including extra focus on the career wishes of employees of the underrepresented gender in the annual development talk</t>
  </si>
  <si>
    <t xml:space="preserve">Der vil for det underrepræsenterede køns medarbejdere være ekstra fokus på området ”Hvilke udfordringer ønsker du i fremtiden?” i den årlige udviklingssamtale.</t>
  </si>
  <si>
    <t xml:space="preserve">For employees of the underrepresented gender there will be extra focus on the topic 'Which challenges do you want in the future?' in the annual development talk.</t>
  </si>
  <si>
    <t xml:space="preserve">Annual report &gt; Ledelsesberetning &gt; Selskabsledelse &gt; Kønsfordeling</t>
  </si>
  <si>
    <t xml:space="preserve">Ordinary banking services for business customers, including SMEs</t>
  </si>
  <si>
    <t xml:space="preserve">Banken rådgiver og servicerer 64.962 private kunder og 5.536 erhvervsvirksomheder og offentlige institutioner, samt 1.170 foreningskunder.</t>
  </si>
  <si>
    <t xml:space="preserve">The bank advises and serves 64,962 private customers and 5,536 businesses and public institutions, as well as 1,170 association customers.</t>
  </si>
  <si>
    <t xml:space="preserve">Annual report &gt; Ledelsesberetning &gt; Forretningsmodel og strategi &gt; Kunder</t>
  </si>
  <si>
    <t xml:space="preserve">Additional sustainability-transition training offered to a significant share of customer-facing employees</t>
  </si>
  <si>
    <t xml:space="preserve">As part of Jyske Bank’s efforts to combat climate change, a significant share of customer-oriented employees are offered additional training, to help them enter the dialogue with and advise our customers on sustainable transition.</t>
  </si>
  <si>
    <t xml:space="preserve">Annual report &gt; Sustainability &gt; S1 Own workforce &gt; Training and skills enhancement further develop employees</t>
  </si>
  <si>
    <t xml:space="preserve">Training programme completed by all employee union representatives</t>
  </si>
  <si>
    <t xml:space="preserve">A total of 106 employees serve as union representatives, and they have all completed a training programme to be equipped for carrying out their duties.</t>
  </si>
  <si>
    <t xml:space="preserve">Annual report &gt; Sustainability &gt; S1 Own workforce &gt; Finansforbundet, Jyske Bank Kreds</t>
  </si>
  <si>
    <t xml:space="preserve">Ongoing involvement with and support for the Danish Finance Institute, an independent research institute in finance and economics</t>
  </si>
  <si>
    <t xml:space="preserve">Jyske Bank has been actively involved with the Danish Finance Institute (DFI) since its foundation in 2017 as part of our commitment to strengthening the financial sector in Denmark.</t>
  </si>
  <si>
    <t xml:space="preserve">Annual report &gt; Sustainability &gt; S1 Own workforce &gt; Support for research in economics and finance</t>
  </si>
  <si>
    <t xml:space="preserve">Participation in the Sunflower programme to support customers with invisible disabilities, also included as a mandatory employee learning activity</t>
  </si>
  <si>
    <t xml:space="preserve">Jyske Bank remains part of the Sunflower programme, which helps to ensure a good customer experience for everyone, including customers who have an invisible disability.</t>
  </si>
  <si>
    <t xml:space="preserve">Annual report &gt; Sustainability &gt; S4 Consumers and end-users &gt; The Sunflower programme</t>
  </si>
  <si>
    <t xml:space="preserve">Accessibility improvements to online banking, apps and documents, including testing with a visually impaired customer</t>
  </si>
  <si>
    <t xml:space="preserve">Jyske Bank is actively working to improve accessibility in its digital self-service solutions, so that all customers – regardless of any functional impairment – have equal access to online banking, apps and documents.</t>
  </si>
  <si>
    <t xml:space="preserve">Annual report &gt; Sustainability &gt; S4 Consumers and end-users &gt; Accessibility and user involvement in digital solutions</t>
  </si>
  <si>
    <t xml:space="preserve">Gender-balanced recruitment practice requiring both genders in first-round interviews</t>
  </si>
  <si>
    <t xml:space="preserve">In 2025, we succeeded in having both genders represented in 53% of interviews.</t>
  </si>
  <si>
    <t xml:space="preserve">Annual report &gt; Sustainability &gt; S1 Own workforce &gt; Gender diversity</t>
  </si>
  <si>
    <t xml:space="preserve">General development, training and upskilling offered to employees</t>
  </si>
  <si>
    <t xml:space="preserve">We also offer our employees decent and attractive working and employment conditions as well as regular development, training and upgrading of skills to ensure that they are able to meet the ever-increasing labour market demands and to help deliver on ChemoMetec’s strategy.</t>
  </si>
  <si>
    <t xml:space="preserve">Annual report &gt; Sustainability &gt; Social, employee-related and diversity matters</t>
  </si>
  <si>
    <t xml:space="preserve">Ongoing specialist training for sales staff on automation and integrated solutions</t>
  </si>
  <si>
    <t xml:space="preserve">Selling our solutions requires a high level of technical expertise as well as an understanding of our customers’ operations, and as we increasingly focus on automation and integrated solutions, we are investing in specialist training for our staff on an ongoing basis.</t>
  </si>
  <si>
    <t xml:space="preserve">Annual report &gt; Our business model &gt; Specialised sales force and support</t>
  </si>
  <si>
    <t xml:space="preserve">Disclosure of management-team gender composition</t>
  </si>
  <si>
    <t xml:space="preserve">At the end of the 2025/26 financial year, the Management team had 76% male and 24% female members.</t>
  </si>
  <si>
    <t xml:space="preserve">Annual report &gt; Sustainability &gt; Diversity on the Board of Directors and other management levels &gt; Other management levels</t>
  </si>
  <si>
    <t xml:space="preserve">Placing cell counting instruments with business incubators to build a position in the start-up segment</t>
  </si>
  <si>
    <t xml:space="preserve">Over a number of years, ChemoMetec has built an attractive market position in this segment by placing our instruments with incubators, and the focus is now on leveraging the new opportunities in the segment.</t>
  </si>
  <si>
    <t xml:space="preserve">Annual report &gt; Performance in 2025/26 &gt; Business performance &gt; Business area 1 (LCB market)</t>
  </si>
  <si>
    <t xml:space="preserve">In-kind donation of mpox vaccine doses to Africa CDC and UNICEF for outbreak response in Uganda and Liberia</t>
  </si>
  <si>
    <t xml:space="preserve">As part of our partnership with African CDC and UNICEF, Bavarian Nordic has donated a total of 130,000 doses of our mpox vaccine to help strengthen outbreak response.</t>
  </si>
  <si>
    <t xml:space="preserve">Annual report &gt; Sustainability statements &gt; S4 Consumers and end-users &gt; Access to vaccines &gt; Action 1 &gt; Donations</t>
  </si>
  <si>
    <t xml:space="preserve">Lowest-price mpox vaccine access for low- and lower-middle-income countries through Gavi and UNICEF agreements</t>
  </si>
  <si>
    <t xml:space="preserve">Through these contracts, we have worked together with all aforementioned parties to ensure vaccine access with the lowest price for the 77 low- and lower-middle-income countries.</t>
  </si>
  <si>
    <t xml:space="preserve">Annual report &gt; Sustainability statements &gt; S4 Consumers and end-users &gt; Access to vaccines &gt; Action 1 &gt; Mpox: Working with partners to reach populations in low- and lower-middle-income countries</t>
  </si>
  <si>
    <t xml:space="preserve">Career Accelerator Pilot giving high-potential employees structured learning, mentoring and project experience</t>
  </si>
  <si>
    <t xml:space="preserve">The pilot was introduced in our Global Operations department and our Quality Assurance department, currently engaging five participants.</t>
  </si>
  <si>
    <t xml:space="preserve">Annual report &gt; Sustainability statements &gt; S1 Own workforce &gt; Career paths &amp; opportunities &gt; Career accelerator pilot</t>
  </si>
  <si>
    <t xml:space="preserve">Company-wide Project Management Training Program for employees</t>
  </si>
  <si>
    <t xml:space="preserve">During 2025, we hosted two foundational project management courses and one advanced project management course.</t>
  </si>
  <si>
    <t xml:space="preserve">Annual report &gt; Sustainability statements &gt; S1 Own workforce &gt; Skills &amp; knowledge &gt; Internal courses</t>
  </si>
  <si>
    <t xml:space="preserve">6 discrimination/harassment incidents were reported in 2025 to the company's own Ethics Hotline or Legal &amp; Compliance team (0 in 2024); fines, penalties and compensation were DKK 0 and no outside body made a finding. The report does not say whether the incidents were substantiated.</t>
  </si>
  <si>
    <t xml:space="preserve">Incidents of discrimination, including harassment 6 0</t>
  </si>
  <si>
    <t xml:space="preserve">Annual report &gt; Sustainability statements &gt; S1 Own workforce &gt; Total number of incidents and complaints (S1 – table 9)</t>
  </si>
  <si>
    <t xml:space="preserve">Continuous employee skills development with an emphasis on on-the-job training, supported by internal mentoring and leadership programs</t>
  </si>
  <si>
    <t xml:space="preserve">We emphasize on-the-job training, and our 2025 employee engagement survey reveals that only 2% of our employees believe they do not learn new things in their current job.</t>
  </si>
  <si>
    <t xml:space="preserve">Annual report &gt; Sustainability &gt; Social &gt; Our people &gt; Employee engagement, development, and culture &gt; Employee development</t>
  </si>
  <si>
    <t xml:space="preserve">Funding support and clinical trial collaboration with patient organizations for rare diseases</t>
  </si>
  <si>
    <t xml:space="preserve">At Zealand Pharma, we have longstanding relationships with patient organizations, including Congenital Hyperinsulinism International and The Oley Foundation, and engage with them through initiatives such as funding support and clinical trial collaboration.</t>
  </si>
  <si>
    <t xml:space="preserve">Annual report &gt; Sustainability &gt; Social &gt; Our patients &gt; Access to medicines &gt; Rare disease programs</t>
  </si>
  <si>
    <t xml:space="preserve">Inclusiveness Index built into the employee engagement survey to give managers feedback on team inclusiveness</t>
  </si>
  <si>
    <t xml:space="preserve">We have integrated an Inclusiveness Index into our annual employee engagement survey, which provides managers with valuable feedback on team inclusiveness, helping them continuously improve and create a more equitable and welcoming environment.</t>
  </si>
  <si>
    <t xml:space="preserve">Annual report &gt; Sustainability &gt; Social &gt; Our people &gt; Diversity, Equity, and Inclusion &gt; Our approach and policies</t>
  </si>
  <si>
    <t xml:space="preserve">Diverse selection panels used in recruitment for management positions</t>
  </si>
  <si>
    <t xml:space="preserve">For management positions, we ensure a diverse selection panel to enhance equitable and inclusive decision-making.</t>
  </si>
  <si>
    <t xml:space="preserve">Joined the UN Global Compact Nordic Programme on Non-Discrimination</t>
  </si>
  <si>
    <t xml:space="preserve">Furthermore, we actively collaborate with peers and experts on initiatives, and in 2025 we joined the UN Global Compact's Nordic Programme on Non-Discrimination further strengthening our efforts in diversity, equity, inclusion, and non-discrimination.</t>
  </si>
  <si>
    <t xml:space="preserve">Workforce nationality and age diversity disclosure</t>
  </si>
  <si>
    <t xml:space="preserve">Our workforce is notably diverse, representing 36 different nationalities and a good representation of various age groups.</t>
  </si>
  <si>
    <t xml:space="preserve">Annual report &gt; Sustainability &gt; Social &gt; Our people &gt; Characteristics of Zealand Pharma's employees</t>
  </si>
  <si>
    <t xml:space="preserve">Core business sells hearing aids (assistive technology) and runs clinics that test and fit people with hearing loss, a disability, so they can communicate and take part in daily life</t>
  </si>
  <si>
    <t xml:space="preserve">In 2025, 1.6 million people were tested for hearing loss in our clinics, and we improved more than 12.1 million lives with Demant’s hearing aids.</t>
  </si>
  <si>
    <t xml:space="preserve">Annual report &gt; Overview &gt; CEO letter &gt; Lives improved</t>
  </si>
  <si>
    <t xml:space="preserve">Basic-to-premium hearing aid range that includes lower-priced, more accessible products for lower-income users</t>
  </si>
  <si>
    <t xml:space="preserve">Through our diversified portfolio of hearing aids, with products and services ranging from basic to premium, we offer a range of lower-priced and more easily accessible products, which benefits users with a lower income.</t>
  </si>
  <si>
    <t xml:space="preserve">Annual report &gt; Social &gt; S4 Consumers and end-users &gt; Providing life-changing hearing health &gt; Ensuring access</t>
  </si>
  <si>
    <t xml:space="preserve">Clinical training for ENT doctors, audiologists and healthcare professionals in countries and regions with little or no formal audiology education</t>
  </si>
  <si>
    <t xml:space="preserve">Our training offerings help support building hearing health capacity in countries and regions with no or very little formal audiology education, enabling better access to higher quality hearing healthcare for people living with hearing loss.</t>
  </si>
  <si>
    <t xml:space="preserve">Annual report &gt; Social &gt; S4 Consumers and end-users &gt; Providing life-changing hearing health &gt; Building capacity in healthcare</t>
  </si>
  <si>
    <t xml:space="preserve">Clinic outreach in local communities, including free hearing screening</t>
  </si>
  <si>
    <t xml:space="preserve">Many of our hearing care clinics actively engage with their local communities to create public awareness and to connect with those who may have a hearing loss but are unaware of it.</t>
  </si>
  <si>
    <t xml:space="preserve">Annual report &gt; Social &gt; S4 Consumers and end-users &gt; Providing life-changing hearing health &gt; Raising awareness of hearing loss</t>
  </si>
  <si>
    <t xml:space="preserve">Global Graduate Programme: a two-year development programme for young professionals hired by the company</t>
  </si>
  <si>
    <t xml:space="preserve">In 2025, we welcomed 10 new graduates to our Global Graduate Programme, which offers opportunities for young professionals to develop their personal and professional skills over a two-year journey across our entire global organisation.</t>
  </si>
  <si>
    <t xml:space="preserve">Annual report &gt; Social &gt; S1 Own workforce &gt; Working conditions &gt; Development opportunities</t>
  </si>
  <si>
    <t xml:space="preserve">Leadership development programme for all leaders, built on the Leadership Compass</t>
  </si>
  <si>
    <t xml:space="preserve">In 2025, we implemented a dedicated leadership development programme for all leaders, focusing on learning journeys across the five essential pillars of leadership outlined in our Leadership Compass.</t>
  </si>
  <si>
    <t xml:space="preserve">Annual report &gt; Social &gt; S1 Own workforce &gt; General information on own workforce &gt; Standardising leadership development and support</t>
  </si>
  <si>
    <t xml:space="preserve">Voluntary employee resource groups in Denmark and the US, consulted on equal treatment</t>
  </si>
  <si>
    <t xml:space="preserve">Currently, Demant has ERGs in Denmark and the US.</t>
  </si>
  <si>
    <t xml:space="preserve">Annual report &gt; Social &gt; S1 Own workforce &gt; Equal treatment and opportunities for all &gt; Employee resource groups</t>
  </si>
  <si>
    <t xml:space="preserve">Diversity and inclusion celebrations, including participation in Copenhagen Pride</t>
  </si>
  <si>
    <t xml:space="preserve">Celebrated diversity and inclusion in various countries, for example through our participation in Copenhagen Pride in Denmark.</t>
  </si>
  <si>
    <t xml:space="preserve">Annual report &gt; Social &gt; S1 Own workforce &gt; Equal treatment and opportunities for all &gt; Learning and awareness</t>
  </si>
  <si>
    <t xml:space="preserve">These are internal whistleblower reports (32 of 38 handled); the text does not say how many were substantiated. It reports no fines, penalties, compensation or confirmed severe human rights incidents and no outside finding. Noted for the team only; costs no points.</t>
  </si>
  <si>
    <t xml:space="preserve">In 2025, Demant received 38 reports through its whistleblower hotline concerning discrimination and/or harassment.</t>
  </si>
  <si>
    <t xml:space="preserve">Annual report &gt; Social &gt; S1 Own workforce &gt; Equal treatment and opportunities for all &gt; S1-17</t>
  </si>
  <si>
    <t xml:space="preserve">Enterprise Leadership Program rolled out to train and develop the company's people leaders</t>
  </si>
  <si>
    <t xml:space="preserve">In order to support our leaders, we have rolled out an Enterprise Leadership Program, equipping them with the mindset and capabilities to deliver business value today while driving sustainable transformation.</t>
  </si>
  <si>
    <t xml:space="preserve">Annual report &gt; Business and strategy &gt; Strategy update &gt; Our people are key drivers of success</t>
  </si>
  <si>
    <t xml:space="preserve">Mandatory unconscious-bias and cultural-awareness training for employees</t>
  </si>
  <si>
    <t xml:space="preserve">In parallel, mandatory trainings on unconscious bias and cultural awareness continue to reinforce our commitment to inclusion and belonging.</t>
  </si>
  <si>
    <t xml:space="preserve">Annual report &gt; Sustainability Statement &gt; S1 Own workforce &gt; Inclusion, diversity, and equity &gt; People-focused actions</t>
  </si>
  <si>
    <t xml:space="preserve">Employee resource groups open to all employees, which grew in number in 2025</t>
  </si>
  <si>
    <t xml:space="preserve">Additionally, Lundbeck encourages and supports the establishment of employee resource groups (ERGs), voluntary employee-led groups open to all employees that engage in awareness and drive dialogue.</t>
  </si>
  <si>
    <t xml:space="preserve">Annual report &gt; Sustainability Statement &gt; S1 Own workforce &gt; Engaging with our own workforce</t>
  </si>
  <si>
    <t xml:space="preserve">Long-standing sponsorship of Clubhouse International's community-based mental health awareness campaign</t>
  </si>
  <si>
    <t xml:space="preserve">In 2025, we continued our long-standing partnership with Clubhouse International by sponsoring their mental health awareness efforts.</t>
  </si>
  <si>
    <t xml:space="preserve">Annual report &gt; Sustainability Statement &gt; S4 Consumers and end-users &gt; Access to health actions &gt; Mental health community-based care</t>
  </si>
  <si>
    <t xml:space="preserve">Sponsorship of the European Migraine and Headache Alliance's Migraine Friendly Workplace program, which educates employers and employees</t>
  </si>
  <si>
    <t xml:space="preserve">In 2025, 93 organizations across different sectors were accredited as migraine-friendly workplaces by the EMHA, including Lundbeck.</t>
  </si>
  <si>
    <t xml:space="preserve">Annual report &gt; Sustainability Statement &gt; S4 Consumers and end-users &gt; Access to health actions &gt; Partnership for migraine awareness in the workplace</t>
  </si>
  <si>
    <t xml:space="preserve">Product donation partnership with International Health Partners supplying treatments to low- and middle-income countries</t>
  </si>
  <si>
    <t xml:space="preserve">In 2025, Lundbeck manufactured 4,291 treatments that were donated in LMICs.</t>
  </si>
  <si>
    <t xml:space="preserve">Annual report &gt; Sustainability Statement &gt; S4 Consumers and end-users &gt; Access to health actions &gt; Product donations through IHP</t>
  </si>
  <si>
    <t xml:space="preserve">Funding for Danish Red Cross mental health and psychosocial support in Ukraine, including training for Red Cross volunteers</t>
  </si>
  <si>
    <t xml:space="preserve">In December 2023, Lundbeck committed DKK 5 million to support Danish Red Cross Mental Health and Psychosocial Support (MHPSS) activities in Ukraine during 2024 and 2025.</t>
  </si>
  <si>
    <t xml:space="preserve">Annual report &gt; Sustainability Statement &gt; S4 Consumers and end-users &gt; Access to health actions &gt; Partnering with the Red Cross for psychosocial support in Ukraine</t>
  </si>
  <si>
    <t xml:space="preserve">Leadership of the Lighthouse Life Science public-private partnership focused on mental health</t>
  </si>
  <si>
    <t xml:space="preserve">Under Lundbeck’s leadership from 2023 to 2025, the partnership’s focus has been on mental health.</t>
  </si>
  <si>
    <t xml:space="preserve">Annual report &gt; Business and strategy &gt; Science and innovation &gt; Lighthouse Life Science</t>
  </si>
  <si>
    <t xml:space="preserve">Annual #1VoiceSummit global advocacy event that brings patient communities together to share best practices</t>
  </si>
  <si>
    <t xml:space="preserve">For the past 11 years, Lundbeck has hosted an annual global advocacy event, the #1VoiceSummit.</t>
  </si>
  <si>
    <t xml:space="preserve">Annual report &gt; Sustainability Statement &gt; S4 Consumers and end-users &gt; Patient voice &gt; Key actions</t>
  </si>
  <si>
    <t xml:space="preserve">Three harassment or discrimination cases were substantiated through the company's own reporting channels (managers, Employee Relations, ombudsmen, Compliance Hotline). Fines, penalties and compensation are reported as nil, and no outside-body finding is disclosed, so this costs no points.</t>
  </si>
  <si>
    <t xml:space="preserve">In 2025, 15 harassment and/or discrimination cases were reported, of which three were substantiated.</t>
  </si>
  <si>
    <t xml:space="preserve">Annual report &gt; Sustainability Statement &gt; S1 Own workforce &gt; Performance on incidents &amp; complaints</t>
  </si>
  <si>
    <t xml:space="preserve">New central People &amp; Culture function to develop employees across the group</t>
  </si>
  <si>
    <t xml:space="preserve">In 2025, we established a dedicated People &amp; Culture function to lead the “People” pillar of the strategy and ensure that we develop our organisation in a structured and scalable way.</t>
  </si>
  <si>
    <t xml:space="preserve">Annual report &gt; Strategy and targets &gt; Route ’27 strategy &gt; Invest in our people</t>
  </si>
  <si>
    <t xml:space="preserve">Internal communities of practice and knowledge sharing between employees across entities</t>
  </si>
  <si>
    <t xml:space="preserve">This involves encouraging collaboration between entities, facilitating communities of practice, and making it easier for colleagues to learn from one another’s experiences.</t>
  </si>
  <si>
    <t xml:space="preserve">entrepreneurship: own_innovation</t>
  </si>
  <si>
    <t xml:space="preserve">Partnership model in which selected employees hold minority stakes in NTG-controlled subsidiaries</t>
  </si>
  <si>
    <t xml:space="preserve">In our partner -driven subsidiaries (PADS), NTG holds at least 51% while selected employees own minority stakes.</t>
  </si>
  <si>
    <t xml:space="preserve">Annual report &gt; Strategy and targets &gt; The partnership model</t>
  </si>
  <si>
    <t xml:space="preserve">Planned expansion of the internal start-up programme to launch new NTG ventures</t>
  </si>
  <si>
    <t xml:space="preserve">To access talent and capabilities, we will expand our start-up programme in 2026.</t>
  </si>
  <si>
    <t xml:space="preserve">Annual report &gt; Financial performance &gt; Start-ups</t>
  </si>
  <si>
    <t xml:space="preserve">Disclosure of gender split in top management</t>
  </si>
  <si>
    <t xml:space="preserve">In 2025, this group comprised 11 employees, with a gender distribution of 82% male and 18% female.</t>
  </si>
  <si>
    <t xml:space="preserve">Annual report &gt; Sustainability statement &gt; Own workforce &gt; S1-9 Diversity metrics &gt; Executive Management diversity</t>
  </si>
  <si>
    <t xml:space="preserve">'Leading With Care' programme training frontline operational leaders in a people and safety-first approach</t>
  </si>
  <si>
    <t xml:space="preserve">More than 15,000 safety and security Gemba walks were conducted by leaders across our business segments, and our ‘Leading With Care’ programme trained frontline operational leaders in a people and safety-first approach that embeds safety and a continuous focus on learning into everyday decisions.</t>
  </si>
  <si>
    <t xml:space="preserve">Annual report &gt; Social information &gt; Safety and security &gt; Key actions &gt; Safety culture</t>
  </si>
  <si>
    <t xml:space="preserve">DE&amp;I KPIs and targets for women in management and target nationalities in executive leadership, now expired</t>
  </si>
  <si>
    <t xml:space="preserve">By the end of 2025, our KPIs and targets expired.</t>
  </si>
  <si>
    <t xml:space="preserve">Annual report &gt; Sustainability &gt; Social &gt; Diversity, equity and inclusion</t>
  </si>
  <si>
    <t xml:space="preserve">Donations to local initiatives and the LA Fire Department Foundation after the Los Angeles wildfires</t>
  </si>
  <si>
    <t xml:space="preserve">This included donations to local initiatives supporting impacted business and workers, and to the LA Fire Department Foundation.</t>
  </si>
  <si>
    <t xml:space="preserve">Annual report &gt; Sustainability &gt; Citizenship</t>
  </si>
  <si>
    <t xml:space="preserve">APM Terminals sponsored construction of a swimming pool for students at a school in Vietnam</t>
  </si>
  <si>
    <t xml:space="preserve">In Vietnam, APM Terminals sponsored the construction of a swimming pool for students at Doan Duc Thai school in Cat Hai District</t>
  </si>
  <si>
    <t xml:space="preserve">Partnership with Nigerian climate-tech start-up GIVO to create a community waste management system</t>
  </si>
  <si>
    <t xml:space="preserve">On the environmental front, one example in 2025 was a partnership with Garbage In Value Out (GIVO), a climate tech start-up in Nigeria that reduces plastic waste and promotes circularity.</t>
  </si>
  <si>
    <t xml:space="preserve">Annual Go Green campaign with employee volunteer events in local communities</t>
  </si>
  <si>
    <t xml:space="preserve">The theme for 2025 was ‘Green Every Day’, and initiatives at local offices and sites focused on for example energy and water conservation, waste segregation and reforestation, with on- and off-site volunteer events carrying out trash clean-ups and recycling competitions.</t>
  </si>
  <si>
    <t xml:space="preserve">Co-created an EV Deployment Guideline with Smart Freight Center to share learnings with SME truckers</t>
  </si>
  <si>
    <t xml:space="preserve">Together with SFC, Maersk also supported and co-created an EV Deployment Guideline to be openly shared with SME truckers to take advantage of the learnings made by Maersk in own early technology investment and deployments and build confidence to make the energy transition with their own fleets.</t>
  </si>
  <si>
    <t xml:space="preserve">Annual report &gt; Environment &gt; Climate change &gt; Partnering for change</t>
  </si>
  <si>
    <t xml:space="preserve">Whistleblower mechanism available in many languages for employees and external stakeholders</t>
  </si>
  <si>
    <t xml:space="preserve">To make the whistleblower programme accessible to everyone, including employees and external stakeholders, and to reflect the global nature of our business, the mechanism is available in 73 languages via phone hotlines and in 20 languages through the online reporting portal.</t>
  </si>
  <si>
    <t xml:space="preserve">Annual report &gt; Governance information &gt; Responsible business conduct &gt; Grievance and remedy</t>
  </si>
  <si>
    <t xml:space="preserve">Code of Conduct published in multiple languages</t>
  </si>
  <si>
    <t xml:space="preserve">The Code of Conduct is publicly available on Maersk.com, in 17 languages.</t>
  </si>
  <si>
    <t xml:space="preserve">Annual report &gt; Governance information &gt; Business ethics &gt; Policies and approach</t>
  </si>
  <si>
    <t xml:space="preserve">Established a dedicated Culture and Inclusion team</t>
  </si>
  <si>
    <t xml:space="preserve">In 2025, we established a Culture and Inclusion team to drive our continued efforts.</t>
  </si>
  <si>
    <t xml:space="preserve">Annual report &gt; Social information &gt; People and culture &gt; Evolving our commitment to excellence and inclusion</t>
  </si>
  <si>
    <t xml:space="preserve">Three discrimination cases were confirmed through the company's own whistleblower and investigation process. These are internal findings, not by a court, regulator or outside body, so they cost no points.</t>
  </si>
  <si>
    <t xml:space="preserve">Three cases of discrimination on protected grounds were confirmed, resulting in dismissals and written warnings.</t>
  </si>
  <si>
    <t xml:space="preserve">Annual report &gt; Governance information &gt; Business ethics &gt; Performance data</t>
  </si>
  <si>
    <t xml:space="preserve">Sponsors maritime cadets from West Africa at a regional maritime academy, with training voyages aboard company vessels</t>
  </si>
  <si>
    <t xml:space="preserve">As part of this regional approach, NORDEN, in partnership with Orient’s Fond, has sponsored 12 cadets at the Regional Academy of Marine Sciences and Technologies (ARSTM).</t>
  </si>
  <si>
    <t xml:space="preserve">Annual report &gt; Sustainability statement &gt; Environmental &gt; Case story: Developing local talent and opportunity in Gabon</t>
  </si>
  <si>
    <t xml:space="preserve">Two-year trainee programme developed with Danish Shipping Education across several offices</t>
  </si>
  <si>
    <t xml:space="preserve">Our two-year programme, developed in collaboration with Danish Shipping Education, provides hands-on experience across multiple NORDEN locations.</t>
  </si>
  <si>
    <t xml:space="preserve">Annual report &gt; Sustainability statement &gt; Social &gt; ESRS S1 Own workforce</t>
  </si>
  <si>
    <t xml:space="preserve">Leadership Essentials development programme for all managers</t>
  </si>
  <si>
    <t xml:space="preserve">All managers across levels and locations were trained in 2025 over multiple days.</t>
  </si>
  <si>
    <t xml:space="preserve">NORDEN Days, a company-wide week of learning and knowledge sharing for all employees</t>
  </si>
  <si>
    <t xml:space="preserve">Through interactive sessions focused on collaboration through the NORDEN value chain, employees deepened their understanding of how individual contributions drive collective results.</t>
  </si>
  <si>
    <t xml:space="preserve">Annual report &gt; Sustainability statement &gt; ESG at NORDEN &gt; S: People are our most important resource</t>
  </si>
  <si>
    <t xml:space="preserve">Bias-mitigating recruitment practices, including diverse panels and a bias-awareness guide</t>
  </si>
  <si>
    <t xml:space="preserve">To support this, we use diverse recruitment panels, predefined criteria, a bias-awareness guide and a semi-structured interview process.</t>
  </si>
  <si>
    <t xml:space="preserve">cross_cultural: connecting_communities</t>
  </si>
  <si>
    <t xml:space="preserve">Participates in Women in Shipping industry network, with CEO as advisory member and an employee as board member</t>
  </si>
  <si>
    <t xml:space="preserve">On an industry level, NORDEN aims to empower the diversity agenda through Women in Shipping (WIS), a professional network with the aim of achieving more diversity and equality within the industry.</t>
  </si>
  <si>
    <t xml:space="preserve">Awareness and training sessions on collaboration and psychological safety in a multicultural workforce</t>
  </si>
  <si>
    <t xml:space="preserve">Cross-cultural understanding and respect are crucial in a multicultural environment, which is why we in 2025 further enhanced awareness and training sessions on how to foster a strong feedback culture, effective collaboration and unlock the potential of psychological safety for all employees and managers.</t>
  </si>
  <si>
    <t xml:space="preserve">Workforce nationality statistics</t>
  </si>
  <si>
    <t xml:space="preserve">NORDEN employees represented 50 different nationalities in 2025 and the percentage of non-Danish employees has stayed the same as in 2024, at 59%.</t>
  </si>
  <si>
    <t xml:space="preserve">Minority stake in, and collaboration with, renewable-fuel company MASH Makes to validate fuels for its own operations</t>
  </si>
  <si>
    <t xml:space="preserve">NORDEN acquired a minority stake in MASH Makes in 2023 and has since worked closely with the company to validate renewable fuels for maritime applications.</t>
  </si>
  <si>
    <t xml:space="preserve">Annual report &gt; Sustainability statement &gt; ESG at NORDEN &gt; E: Delivering on the decarbonisation agenda</t>
  </si>
  <si>
    <t xml:space="preserve">Local community projects near wind farm projects, which reached a cumulative community-beneficiary target during the year</t>
  </si>
  <si>
    <t xml:space="preserve">During 2025, we achieved our previous target of 35,000 community beneficiaries and replaced this target with a target to conduct social due diligence on all projects in scope annually.</t>
  </si>
  <si>
    <t xml:space="preserve">Sustainability statement &gt; Sustainability at Vestas &gt; Embedding sustainability &gt; 3. Social</t>
  </si>
  <si>
    <t xml:space="preserve">Technical training, capacity building and entrepreneurship courses for community members near Vestas projects (e.g. farmers in Australia)</t>
  </si>
  <si>
    <t xml:space="preserve">Our Social Due Diligence process advanced toward full annual coverage, and global initiatives supported technical training, capacity building, and entrepreneurship in communities connected to our projects.</t>
  </si>
  <si>
    <t xml:space="preserve">Our business &gt; In brief &gt; Our people &gt; Acting responsibly across our value chain</t>
  </si>
  <si>
    <t xml:space="preserve">Frontline leadership programme rolled out to Service staff</t>
  </si>
  <si>
    <t xml:space="preserve">This included the roll-out of a frontline leadership programme, piloted in 2024, to around 300 people in Service to strengthen the safety, quality, people, and cost leadership culture across the organisation.</t>
  </si>
  <si>
    <t xml:space="preserve">Our business &gt; Performance for the year &gt; Service &gt; Driving value for our customers</t>
  </si>
  <si>
    <t xml:space="preserve">Inclusive Leadership Programme for leaders, with a new module on working across cultures</t>
  </si>
  <si>
    <t xml:space="preserve">In 2025, we launched “Leading Across Cultures” , as the third module in the Inclusive Leadership Programme in addition to “Foundations” and “Inclusive Interactions” .</t>
  </si>
  <si>
    <t xml:space="preserve">Sustainability statement &gt; S1 Own workforce – Diversity &gt; Actions and resources &gt; Leadership and culture</t>
  </si>
  <si>
    <t xml:space="preserve">Inclusive recruitment practices, including bias-reducing job-ad software and DEIB statements in postings</t>
  </si>
  <si>
    <t xml:space="preserve">Job advertisements use gender- and identity- neutral language supported by the inclusive writing software “Develop Diverse”; psychometric assessments are mandatory for leadership roles; and DEIB statements are included in postings.</t>
  </si>
  <si>
    <t xml:space="preserve">Sustainability statement &gt; S1 Own workforce – Diversity &gt; Actions and resources &gt; Inclusive recruitment</t>
  </si>
  <si>
    <t xml:space="preserve">Regional DEIB employee networks and Employee Resource Groups that feed into company practices</t>
  </si>
  <si>
    <t xml:space="preserve">Vestas also monitors gender response patterns in the EES and engaging with regional DEIB networks, which complement global results with locally grounded insights.</t>
  </si>
  <si>
    <t xml:space="preserve">Sustainability statement &gt; S1 Own workforce – Secure employment &gt; Workforce engagement &gt; Results</t>
  </si>
  <si>
    <t xml:space="preserve">These cases were substantiated through Vestas' own EthicsLine process (categories include discrimination, harassment, sexual harassment, labour rights and health &amp; safety). The report states zero severe human rights incidents and EUR 0m in fines or compensation, and discloses no outside-body finding.</t>
  </si>
  <si>
    <t xml:space="preserve">In 2025, 111 (2024: 78) out of 394 (2024: 353) complaints related to social and human rights were substantiated.</t>
  </si>
  <si>
    <t xml:space="preserve">Sustainability statement &gt; S1 Own workforce – Secure employment &gt; S1-17 Social and human rights related complaints</t>
  </si>
  <si>
    <t xml:space="preserve">community: community_investment; cross_cultural: customer_access</t>
  </si>
  <si>
    <t xml:space="preserve">Hear the World Foundation funds and runs pediatric hearing care projects in low- and middle-income countries, supported by Sonova money, expertise, volunteers and devices</t>
  </si>
  <si>
    <t xml:space="preserve">In the 2025/26 financial year, HTWF supported 14 projects worldwide, delivering more than 125,000 hearing screenings for newborns and children and providing pediatric hearing care, including the fitting of hearing aids, to over 2,600 children.</t>
  </si>
  <si>
    <t xml:space="preserve">Annual report &gt; Sustainability Report &gt; Social Information &gt; Corporate citizenship &gt; Hear the World Foundation</t>
  </si>
  <si>
    <t xml:space="preserve">Swiss International Hearing Academy (SIHA) blended-learning audiology program trains aspiring hearing care professionals in low- and middle-income countries</t>
  </si>
  <si>
    <t xml:space="preserve">During the 2025/26 financial year, 554 HCPs in low- and middle-income countries graduated from the SIHA program and further, 644 were enrolled.</t>
  </si>
  <si>
    <t xml:space="preserve">Annual report &gt; Sustainability Report &gt; Social Information &gt; Access to hearing care &gt; Training and education</t>
  </si>
  <si>
    <t xml:space="preserve">Leadership Excellence Hub learning and development for employees</t>
  </si>
  <si>
    <t xml:space="preserve">In the 2025/26 financial year, more than 3,500 employees completed approximately 18,000 hours of learning through the Leadership Excellence Hub learning.</t>
  </si>
  <si>
    <t xml:space="preserve">Annual report &gt; Sustainability Report &gt; Social Information &gt; Talent management &gt; Learning, performance and development</t>
  </si>
  <si>
    <t xml:space="preserve">Global employee resource groups, including OutLoud and Hearing Loss networks, open to all staff</t>
  </si>
  <si>
    <t xml:space="preserve">Voluntary employee resource groups—including the Global Wo/Menʼs Network, the Global OutLoud Network, and the Global Hearing Loss Network—are open to all employees and serve as platforms for connection and knowledge‑sharing.</t>
  </si>
  <si>
    <t xml:space="preserve">Annual report &gt; Sustainability Report &gt; Social Information &gt; Our employees &gt; Equal treatment and employment opportunities</t>
  </si>
  <si>
    <t xml:space="preserve">Meeting rooms equipped with Roger wireless devices for colleagues who use hearing aids</t>
  </si>
  <si>
    <t xml:space="preserve">In addition, at selected locations, meeting rooms are equipped with our Roger™ wireless communication devices to improve sound clarity and accessibility for colleagues who use hearing aids.</t>
  </si>
  <si>
    <t xml:space="preserve">Remote and app-based hearing screenings and fittings for users where access to hearing care professionals is limited or remote</t>
  </si>
  <si>
    <t xml:space="preserve">In numerous countries, Sonova enables online or app‑based hearing screenings and supports remote hearing aid fittings and adjustments, as well as cochlear implant settings, allowing users to engage with their hearing care professionals without requiring an in‑person visit.</t>
  </si>
  <si>
    <t xml:space="preserve">Annual report &gt; Sustainability Report &gt; Social Information &gt; Access to hearing care &gt; Policies and actions</t>
  </si>
  <si>
    <t xml:space="preserve">creativity: uses_as_input</t>
  </si>
  <si>
    <t xml:space="preserve">Consumer-focused product design of Virto R hearing aid</t>
  </si>
  <si>
    <t xml:space="preserve">With Virto R, we made design a starting point.</t>
  </si>
  <si>
    <t xml:space="preserve">Annual report &gt; Our Strategy &gt; Innovate for adoption: Virto R</t>
  </si>
  <si>
    <t xml:space="preserve">Disclosure of women's share in management</t>
  </si>
  <si>
    <t xml:space="preserve">Women accounted for 31.0% of senior management positions and 42.6% of middle management roles across the Group.</t>
  </si>
  <si>
    <t xml:space="preserve">Annual report &gt; Sustainability Report &gt; Social Information &gt; Our employees &gt; Gender diversity across the organization 2025/26</t>
  </si>
  <si>
    <t xml:space="preserve">creativity: enables</t>
  </si>
  <si>
    <t xml:space="preserve">Sponsors art therapy workshops for hospital patients in France (Sur un lit de couleurs)</t>
  </si>
  <si>
    <t xml:space="preserve">Sur un lit de couleurs Supports hospital patients psychologically through art therapy workshops</t>
  </si>
  <si>
    <t xml:space="preserve">Annual report &gt; Company profile &gt; Philanthropy &gt; Local community engagement (France)</t>
  </si>
  <si>
    <t xml:space="preserve">Donated dental treatment for people with disabilities, the elderly and the medically fragile, via Dental Lifeline Network in the US</t>
  </si>
  <si>
    <t xml:space="preserve">Donated Dental Services program to treat individuals with disabilities, the elderly or medically fragile who cannot afford or otherwise access treatment for severe dental conditions</t>
  </si>
  <si>
    <t xml:space="preserve">Annual report &gt; Company profile &gt; Philanthropy &gt; Main initiatives and projects sponsored (US)</t>
  </si>
  <si>
    <t xml:space="preserve">Translated educational content and free online materials to widen access to professional education</t>
  </si>
  <si>
    <t xml:space="preserve">During 2025, stakeholder feedback prompted adjustments to educational content and formats to make them more inclusive, for example, through content translation and the provision of free online materials for wider accessibility.</t>
  </si>
  <si>
    <t xml:space="preserve">Annual report &gt; Sustainability report &gt; S4 Consumers and end-users &gt; Customer training and education &gt; Engagement</t>
  </si>
  <si>
    <t xml:space="preserve">Global clinical education programme for dental professionals, run with partners ITI and ILAPEO, with a target share delivered in low- and middle-income countries</t>
  </si>
  <si>
    <t xml:space="preserve">In 2025, over 370 000 dental professionals were reached through approximately 10 700 educational activities worldwide, contributing to the availability of qualified care and the long-term strengthening of local healthcare systems.</t>
  </si>
  <si>
    <t xml:space="preserve">Annual report &gt; Sustainability report &gt; Sustainability targets and performance</t>
  </si>
  <si>
    <t xml:space="preserve">Funds a dental student scholarship program in Cambodia (Hope for all Clinic)</t>
  </si>
  <si>
    <t xml:space="preserve">Dental student scholarship program Ongoing since 2007</t>
  </si>
  <si>
    <t xml:space="preserve">Annual report &gt; Company profile &gt; Philanthropy &gt; Main initiatives and projects sponsored (Cambodia)</t>
  </si>
  <si>
    <t xml:space="preserve">Skills development and income-generation initiative for women in local communities in Brazil (Futuro Sorriso)</t>
  </si>
  <si>
    <t xml:space="preserve">Futuro Sorriso (Future Smile) Skills development and income generation for women in local communities Ongoing since 2025</t>
  </si>
  <si>
    <t xml:space="preserve">Annual report &gt; Company profile &gt; Philanthropy &gt; Local community engagement (Brazil)</t>
  </si>
  <si>
    <t xml:space="preserve">Straumann Group Foundation funds oral-care access programs for underserved populations with NGOs, clinics and academic partners</t>
  </si>
  <si>
    <t xml:space="preserve">The Straumann Group Foundation is dedicated to improving access to oral health care for underserved populations through long-term, sustainable initiatives.</t>
  </si>
  <si>
    <t xml:space="preserve">Annual report &gt; Company profile &gt; Philanthropy &gt; Oral health and care</t>
  </si>
  <si>
    <t xml:space="preserve">Employee training and development programs, including EDGE!UP, Leadership Academy and Leadership Horizons</t>
  </si>
  <si>
    <t xml:space="preserve">In 2025, employees completed more than 160 000 hours of training.</t>
  </si>
  <si>
    <t xml:space="preserve">Annual report &gt; Sustainability report &gt; S1 Own workforce &gt; Talent and skills availability &gt; Metrics and targets</t>
  </si>
  <si>
    <t xml:space="preserve">Female talent development programs, including female talent group sessions and the EmpowerHER program in EMEA</t>
  </si>
  <si>
    <t xml:space="preserve">These sessions focused on executive presence, strategic thinking, innovation, and business acumen, as well as the “EmpowerHER” program in the EMEA region, offering opportunities for women to grow both professionally and personally.</t>
  </si>
  <si>
    <t xml:space="preserve">Annual report &gt; Sustainability report &gt; S1 Own workforce &gt; Gender balance and inclusion &gt; Actions</t>
  </si>
  <si>
    <t xml:space="preserve">Choose Inclusion program on unconscious bias for teams</t>
  </si>
  <si>
    <t xml:space="preserve">We also continued offering the “Choose Inclusion” program, designed to raise awareness about unconscious bias and to help teams embed inclusivity into their everyday actions.</t>
  </si>
  <si>
    <t xml:space="preserve">Supports the Milano Pride LGBTQIA+ community</t>
  </si>
  <si>
    <t xml:space="preserve">Milano Pride Support LGBTQIA+ community Ongoing since 2023</t>
  </si>
  <si>
    <t xml:space="preserve">Annual report &gt; Company profile &gt; Philanthropy &gt; Local community engagement (Italy)</t>
  </si>
  <si>
    <t xml:space="preserve">The report discloses 51 reported discrimination and harassment incidents in 2025, received through internal channels such as SpeakUp. These are complaints identified by keyword filtering, not confirmed findings by a court, regulator or outside body, so they cost no points and are noted for the team only.</t>
  </si>
  <si>
    <t xml:space="preserve">Incidents reported on discrimination, including harassment: Number of complaints reported and identified through keyword-based filtering for harassment and discrimination.</t>
  </si>
  <si>
    <t xml:space="preserve">Annual report &gt; Sustainability report &gt; S1 Own workforce &gt; Accounting principles</t>
  </si>
  <si>
    <t xml:space="preserve">Training for professional employees through in-house seminars, local university classes and trade meetings</t>
  </si>
  <si>
    <t xml:space="preserve">Our professional associates are trained in various aspects of management, regulatory and technical issues through a combination of in-house seminars, local university classes and trade meetings.</t>
  </si>
  <si>
    <t xml:space="preserve">Item 4.B &gt; Manufacturing, Quality and Supplies &gt; Manufacturing</t>
  </si>
  <si>
    <t xml:space="preserve">Alcon Research Institute awards research grants to outside investigators, young scientists and clinicians</t>
  </si>
  <si>
    <t xml:space="preserve">This year, ARI’s annual scientific meeting, the Steven M. Podos Colloquium, convened global vision leaders under the theme “Next Generation Gene Therapy Strategies,” continuing its tradition of awarding approximately $1 million in grants to senior investigators, young scientists and clinicians.</t>
  </si>
  <si>
    <t xml:space="preserve">Item 4.B &gt; Research and Development &gt; Advancing Vision Science</t>
  </si>
  <si>
    <t xml:space="preserve">Hands-on training and education programs for external eye care professionals at interactive training centers</t>
  </si>
  <si>
    <t xml:space="preserve">In addition, we have established or sponsor several long-standing programs that provide training and education to eye care professionals, including providing training support at approximately 45 state-of-the-art interactive training centers around the world.</t>
  </si>
  <si>
    <t xml:space="preserve">Item 4.B &gt; Marketing and Sales</t>
  </si>
  <si>
    <t xml:space="preserve">entrepreneurship: enabling</t>
  </si>
  <si>
    <t xml:space="preserve">Alcon Seed Fund supports the Eye Pitch Live pitch competition where entrepreneurs compete for investment</t>
  </si>
  <si>
    <t xml:space="preserve">In 2025, ASF partnered with the Association for Research in Vision and Ophthalmology to support the Eye Pitch Live event, which gives entrepreneurs the opportunity to compete for up to $1 million in investment, helping to accelerate disruptive ideas in therapeutic and diagnostic solutions.</t>
  </si>
  <si>
    <t xml:space="preserve">Item 4.B &gt; Research and Development &gt; Acquisitions and Strategic Partnerships</t>
  </si>
  <si>
    <t xml:space="preserve">Corporate venture investments by the Alcon Seed Fund in early- and mid-stage eye care technologies</t>
  </si>
  <si>
    <t xml:space="preserve">In total, ASF invested in 16 projects in 2025, bringing the active portfolio to 25 engagements.</t>
  </si>
  <si>
    <t xml:space="preserve">Galderma Aesthetic Injector Network (GAIN), a global hands-on clinical training platform for external aesthetic practitioners, with in-person events, the GAIN Connect e-learning platform and the GAIN ASCENT program for emerging injectors</t>
  </si>
  <si>
    <t xml:space="preserve">In 2025, we trained more than 100,000 healthcare professionals across over 10,000 GAIN events.</t>
  </si>
  <si>
    <t xml:space="preserve">Annual report &gt; Shaping the future of dermatology: market-leading education and services &gt; A premium worldwide network of injectors</t>
  </si>
  <si>
    <t xml:space="preserve">Long-running support for Camp Wonder (Children's Skin Disease Foundation) through funding, product donations and employee volunteering</t>
  </si>
  <si>
    <t xml:space="preserve">In 2025, four volunteers from across our business joined as Camp Wonder volunteers to help make camp a safe and carefree space for kids living with chronic skin conditions.</t>
  </si>
  <si>
    <t xml:space="preserve">Annual report &gt; One global team &gt; Celebrating 25 years of impact at Camp Wonder</t>
  </si>
  <si>
    <t xml:space="preserve">Employee development through stretch assignments, cross-functional moves, formal learning, coaching and mentoring</t>
  </si>
  <si>
    <t xml:space="preserve">Meaningful development through stretch assignments, cross-functional moves, formal learning, coaching and mentoring supports continuous progression.</t>
  </si>
  <si>
    <t xml:space="preserve">Annual report &gt; One global team &gt; Nurturing future success</t>
  </si>
  <si>
    <t xml:space="preserve">Global gender-diversity hiring and succession practices, including removing gender-coded language from job postings and tracking diversity in hiring and succession</t>
  </si>
  <si>
    <t xml:space="preserve">These include but are not limited to removing gender-coded language in job postings, tracking gender diversity throughout our hiring process to ensure a balanced representation of candidates, actively tracking diversity in succession planning, including for senior roles, and launching both global and local diversity and inclusion initiatives.</t>
  </si>
  <si>
    <t xml:space="preserve">Annual report &gt; Part 3 Report on non-financial matters &gt; Labor practices &gt; Approach</t>
  </si>
  <si>
    <t xml:space="preserve">Disclosure of the share of women in management against a target</t>
  </si>
  <si>
    <t xml:space="preserve">Despite the decrease, Galderma remains above its mid-term ambition of at least 40% women in Galderma management.</t>
  </si>
  <si>
    <t xml:space="preserve">Annual report &gt; Part 3 Report on non-financial matters &gt; Labor practices &gt; Performance</t>
  </si>
  <si>
    <t xml:space="preserve">Branded podcast and video series hosted by the CEO about dermatology and aesthetics</t>
  </si>
  <si>
    <t xml:space="preserve">Beauty x Medicine is Galderma’s podcast and video series examining the intersection of science, aesthetics and clinical practice in dermatology.</t>
  </si>
  <si>
    <t xml:space="preserve">Annual report &gt; In focus: Beauty × Medicine</t>
  </si>
  <si>
    <t xml:space="preserve">Cetaphil influencer and content marketing program targeting Gen Z and Gen Alpha</t>
  </si>
  <si>
    <t xml:space="preserve">Across nine countries, the program delivered authentic, always-on content that resonated with culture, sparked meaningful conversations, and strengthened Gen Z and Gen Alpha’s emotional connection with the brand.</t>
  </si>
  <si>
    <t xml:space="preserve">Annual report &gt; In focus: strengthening our connection with the next generation</t>
  </si>
  <si>
    <t xml:space="preserve">Learn@Lonza self-paced learning platform for employees, expanded in 2025</t>
  </si>
  <si>
    <t xml:space="preserve">We continued to expand our learning and development offerings, through our Learn@Lonza platform, providing tailored, self-paced learning opportunities.</t>
  </si>
  <si>
    <t xml:space="preserve">Annual report &gt; Our People and Culture &gt; Leading Capabilities: Investing in Growth and Excellence</t>
  </si>
  <si>
    <t xml:space="preserve">Internal talent marketplace connecting employees with internal projects for skill development</t>
  </si>
  <si>
    <t xml:space="preserve">We also introduced an internal talent marketplace to connect employees with internal projects, fostering cross-functional collaboration and skill development.</t>
  </si>
  <si>
    <t xml:space="preserve">Individual development plans for employees, supported by manager conversations and tracked as an ESG bonus KPI</t>
  </si>
  <si>
    <t xml:space="preserve">We focus on the development of our employees, supported by meaningful manager conversations, with more than 68% coverage</t>
  </si>
  <si>
    <t xml:space="preserve">Annual report &gt; Remuneration &gt; Compensation of the Executive Committee 2025 &gt; ESG objectives (SDG 4 Quality Education)</t>
  </si>
  <si>
    <t xml:space="preserve">HR practice allowing employees to self-identify as transgender or not disclose gender</t>
  </si>
  <si>
    <t xml:space="preserve">Lonza allows employees to identify as male, female, transgender or to choose not to disclose their gender.</t>
  </si>
  <si>
    <t xml:space="preserve">Annual report &gt; Our People and Culture &gt; Overview (Distribution of Employees by Gender and Age Group)</t>
  </si>
  <si>
    <t xml:space="preserve">Roadmap to remove systemic barriers to equal participation across the employee lifecycle, put into operation</t>
  </si>
  <si>
    <t xml:space="preserve">Operationalized our roadmap to dismantle systemic barriers to equal participation across the employee lifecycle.</t>
  </si>
  <si>
    <t xml:space="preserve">Annual report &gt; Our Approach to Sustainability &gt; SDG 5 Gender Equality &gt; Progress and achievements</t>
  </si>
  <si>
    <t xml:space="preserve">Workforce demographics disclosure (nationalities, gender split)</t>
  </si>
  <si>
    <t xml:space="preserve">In 2025, our workforce represented more than 100 nationalities across a broad range of ages, with 38% women and 62% men.</t>
  </si>
  <si>
    <t xml:space="preserve">Annual report &gt; Our People and Culture &gt; Overview</t>
  </si>
  <si>
    <t xml:space="preserve">Licensing and partnerships that serve start-up and established biopharma customers</t>
  </si>
  <si>
    <t xml:space="preserve">Through strategic partnerships, we drive innovation by enabling both emerging start-ups and established industry leaders to benefit from Lonza’s industrial expertise and global reach.</t>
  </si>
  <si>
    <t xml:space="preserve">Annual report &gt; Our Businesses &gt; Integrated Biologics</t>
  </si>
  <si>
    <t xml:space="preserve">Company-wide employee learning offer: free language courses and a large online program library, with per-FTE learning spend</t>
  </si>
  <si>
    <t xml:space="preserve">Beyond compliance, we provide free access to language courses and a portfolio of 10,000+ online programs from world-class providers, complemented by on-the-job learning and communities of practice.</t>
  </si>
  <si>
    <t xml:space="preserve">Annual report &gt; Empowering our People &gt; Learning and development</t>
  </si>
  <si>
    <t xml:space="preserve">Partnerships with Stonewall, ILO and Healthcare Businesswomen Association on LGBTQI+, gender and disability inclusion</t>
  </si>
  <si>
    <t xml:space="preserve">Supporting our ambitions on LGBTQI+, Gender and Disability topics by partnering with organizations such as Stonewall, the International Labour Organization (ILO) and the Healthcare Businesswomen Association</t>
  </si>
  <si>
    <t xml:space="preserve">Annual report &gt; Empowering our People &gt; Inclusion at Sandoz</t>
  </si>
  <si>
    <t xml:space="preserve">Leadership development programs for employees, including the New Leader Program</t>
  </si>
  <si>
    <t xml:space="preserve">This year, four cohorts graduated through three flagship programs, alongside over 250 graduates on the New Leader Program.</t>
  </si>
  <si>
    <t xml:space="preserve">Annual report &gt; Empowering our People &gt; Shaping leadership</t>
  </si>
  <si>
    <t xml:space="preserve">Early-career partnerships with schools and universities offering internships, trainee programs, apprenticeships and thesis collaborations</t>
  </si>
  <si>
    <t xml:space="preserve">We strategically focus on attracting, developing and retaining early-career talent through partnerships with schools, universities and research institutions.</t>
  </si>
  <si>
    <t xml:space="preserve">Charitable medicine donations through relief organizations such as Americares, Direct Relief and International Health Partners</t>
  </si>
  <si>
    <t xml:space="preserve">We continue to work closely with leading health-focused relief and development organizations, including Americares, Direct Relief, and International Health Partners by providing charitable donations of medicines.</t>
  </si>
  <si>
    <t xml:space="preserve">Annual report &gt; Driving Impact and Access &gt; Reaching underserved markets</t>
  </si>
  <si>
    <t xml:space="preserve">Access program for low- and middle-income countries: lower prices, licensing, non-enforcement of patents and healthcare professional training, reaching underserved populations</t>
  </si>
  <si>
    <t xml:space="preserve">Our essential medicines have reached underserved and disaster-affected populations in more than 40 LMICs, helping to strengthen health systems where our help is needed most.</t>
  </si>
  <si>
    <t xml:space="preserve">US Patient Assistance Program access for patients in financial hardship or without prescription coverage</t>
  </si>
  <si>
    <t xml:space="preserve">In the US, for example, we make certain Sandoz medicines available through the federal Patient Assistance Program, which provides access for patients experiencing financial hardship, or for those who cannot afford the medications they need due to limited (or no) prescription coverage.</t>
  </si>
  <si>
    <t xml:space="preserve">Making Access Happen Forum, an ongoing collaborative community of patient organizations</t>
  </si>
  <si>
    <t xml:space="preserve">One of our main activities is the Making Access Happen Forum, which brought together almost 40 patient organizations from around the world.</t>
  </si>
  <si>
    <t xml:space="preserve">Annual report &gt; Driving Impact and Access &gt; Amplifying the patient voice</t>
  </si>
  <si>
    <t xml:space="preserve">Patient and Customer Engagement (PACE) Week, in which employees engage with patient organizations</t>
  </si>
  <si>
    <t xml:space="preserve">More than 40 countries participated in 2025, with 6,000 employees engaging in 130 activities and connecting with 35 patient organizations.</t>
  </si>
  <si>
    <t xml:space="preserve">Employee-led Communities of Belonging (employee resource groups) open to all staff</t>
  </si>
  <si>
    <t xml:space="preserve">Communities of Belonging (CoBs) are employee-led communities with common interests, experiences and perspectives.</t>
  </si>
  <si>
    <t xml:space="preserve">Annual report &gt; Empowering our People &gt; Our Communities of Belonging (CoBs)</t>
  </si>
  <si>
    <t xml:space="preserve">The SpeakUp internal process substantiated 2 sexual harassment cases in 2025 (0 discrimination, 0 human and labor rights). These are internal findings only and cost no points.</t>
  </si>
  <si>
    <t xml:space="preserve">Sexual harassment  2   3</t>
  </si>
  <si>
    <t xml:space="preserve">ESG Disclosures &gt; ESG performance indicators &gt; Grievance indicators: SpeakUp office</t>
  </si>
  <si>
    <t xml:space="preserve">Custom 'Leading with Values' leadership development program run with INSEAD for company leaders</t>
  </si>
  <si>
    <t xml:space="preserve">By mid-2025, 180 leaders across five global cohorts had participated, focusing on emotional intelligence, constructive feedback, inclusive decision-making and storytelling as a cultural tool.</t>
  </si>
  <si>
    <t xml:space="preserve">Sustainability Report &gt; Talent Attraction, Development &amp; Retention &gt; Leadership Skills</t>
  </si>
  <si>
    <t xml:space="preserve">Online and instructor-led employee learning programs, with a global Learning Management System introduced in 2025</t>
  </si>
  <si>
    <t xml:space="preserve">Belimo has expanded its learning offers with both online and instructor-led programs, providing employees with diverse development opportunities worldwide.</t>
  </si>
  <si>
    <t xml:space="preserve">Sustainability Report &gt; Talent Attraction, Development &amp; Retention &gt; Upgrading Employee Skills and Transition Assistance Programs</t>
  </si>
  <si>
    <t xml:space="preserve">Employee courses that include intercultural competencies and language training</t>
  </si>
  <si>
    <t xml:space="preserve">Courses cover effective communication, negotiation, conflict management, intercultural competencies, and language training.</t>
  </si>
  <si>
    <t xml:space="preserve">Sustainability Report &gt; Talent Attraction, Development &amp; Retention &gt; Career Development</t>
  </si>
  <si>
    <t xml:space="preserve">Participation in disability employment programs that bring people with physical or mental disabilities into work at Belimo</t>
  </si>
  <si>
    <t xml:space="preserve">In 2025, 76 individuals contributed their skills to Belimo through disability employment programs (2024: 65 individuals).</t>
  </si>
  <si>
    <t xml:space="preserve">Sustainability Report &gt; Our Employees &gt; Equal Opportunity</t>
  </si>
  <si>
    <t xml:space="preserve">Women in CleanTech event and work with LIMES and SVIN, associations for women students and engineers, to reach underrepresented female engineers</t>
  </si>
  <si>
    <t xml:space="preserve">In 2025 Belimo conducted the Women in CleanTech event for the second time to increase the visibility of Belimo towards female engineers.</t>
  </si>
  <si>
    <t xml:space="preserve">Sustainability Report &gt; Our Employees &gt; Diversity</t>
  </si>
  <si>
    <t xml:space="preserve">Inclusion@Hinwil pilot (onboarding, awareness training, feedback processes) and inclusive language in HR processes</t>
  </si>
  <si>
    <t xml:space="preserve">In 2025, Belimo launched several DEI-related initiatives, including the Inclusion@Hinwil pilot (onboarding, awareness training, role clarity &amp; feedback processes), as well as the introduction of inclusive language across HR processes.</t>
  </si>
  <si>
    <t xml:space="preserve">Sustainability Report &gt; Our Employees &gt; Management Approach</t>
  </si>
  <si>
    <t xml:space="preserve">Multilingual whistleblower and grievance channel available around the clock</t>
  </si>
  <si>
    <t xml:space="preserve">This grievance mechanism is operated by an external provider and is available 24/7 in German, English, and Chinese; reports can be entered in all languages.</t>
  </si>
  <si>
    <t xml:space="preserve">Sustainability Report &gt; Policies &amp; Compliance &gt; Grievance Mechanism and Integrity Channel</t>
  </si>
  <si>
    <t xml:space="preserve">Disclosure of workforce gender statistics</t>
  </si>
  <si>
    <t xml:space="preserve">In 2025, women represented 38.8% of Belimo’s total workforce (2024: 37.3%).</t>
  </si>
  <si>
    <t xml:space="preserve">Training the workforce on modernization-specific skills</t>
  </si>
  <si>
    <t xml:space="preserve">We’re training our workforce on competencies specific to modernization.</t>
  </si>
  <si>
    <t xml:space="preserve">Annual report &gt; Enhancing the quality of urban living &gt; Bangkok, Thailand</t>
  </si>
  <si>
    <t xml:space="preserve">Operational Learning Event program where certified facilitators work with technicians on safety and quality improvements</t>
  </si>
  <si>
    <t xml:space="preserve">Certified facilitators work with technicians to analyze how work is performed and identify safety, quality, and efficiency improvements.</t>
  </si>
  <si>
    <t xml:space="preserve">Annual report &gt; Sustainability &gt; Health and safety &gt; Learning from the field: a new approach to safety</t>
  </si>
  <si>
    <t xml:space="preserve">Pune, India campus and university attached to the factory, with an audience (employees or external) not specified</t>
  </si>
  <si>
    <t xml:space="preserve">Campus and university Pune, India Elevator and escalator factory &gt;3 000 students per year</t>
  </si>
  <si>
    <t xml:space="preserve">Annual report &gt; Global presence map &gt; ASIA-PACIFIC</t>
  </si>
  <si>
    <t xml:space="preserve">Accessibility features (induction loops, voice signaling, Braille) installed in modernized hospital elevators</t>
  </si>
  <si>
    <t xml:space="preserve">For accessibility, each elevator includes induction loops for the hearing impaired, voice signaling inside the cabins, and Braille markings.</t>
  </si>
  <si>
    <t xml:space="preserve">Annual report &gt; Enhancing the quality of urban living &gt; Warsaw, Poland &gt; Children’s Memorial Health Institute</t>
  </si>
  <si>
    <t xml:space="preserve">Residential elevator modernizations improving accessibility for elderly people and families</t>
  </si>
  <si>
    <t xml:space="preserve">We’ve delivered several modernization projects in residential buildings that have truly improved everyday life for residents – through smoother rides, more reliable performance, and greater accessibility for elderly people and families with children.</t>
  </si>
  <si>
    <t xml:space="preserve">Annual report &gt; Enhancing the quality of urban living &gt; Warsaw, Poland &gt; Interview with head of Schindler Poland</t>
  </si>
  <si>
    <t xml:space="preserve">Target for women in senior leadership</t>
  </si>
  <si>
    <t xml:space="preserve">Gender diversity: 30% female executives by 2030</t>
  </si>
  <si>
    <t xml:space="preserve">Annual report &gt; About Schindler &gt; Our targets</t>
  </si>
  <si>
    <t xml:space="preserve">Group-wide employee-led community engagement program of volunteering and donation projects in local communities</t>
  </si>
  <si>
    <t xml:space="preserve">In 2025, we implemented 77 initiatives in 33 countries.</t>
  </si>
  <si>
    <t xml:space="preserve">Annual report &gt; Sustainability report &gt; People &gt; Local community engagement</t>
  </si>
  <si>
    <t xml:space="preserve">Employment of disabled individuals at the China site</t>
  </si>
  <si>
    <t xml:space="preserve">The Company supports inclusion by employing four disabled individuals.</t>
  </si>
  <si>
    <t xml:space="preserve">Annual report &gt; Sustainability report &gt; People &gt; Beyond pay</t>
  </si>
  <si>
    <t xml:space="preserve">Language courses offered to employees</t>
  </si>
  <si>
    <t xml:space="preserve">Additionally, we offer language courses to foster language skills development.</t>
  </si>
  <si>
    <t xml:space="preserve">Annual report &gt; Sustainability report &gt; People &gt; Employee learning and development &gt; Continuous learning is in our DNA</t>
  </si>
  <si>
    <t xml:space="preserve">Disclosure of female share of workforce</t>
  </si>
  <si>
    <t xml:space="preserve">We also strive to increase the overall proportion of female employees, and we have succeeded in raising the proportion from 15% in 2022 to 17.5% in 2025.</t>
  </si>
  <si>
    <t xml:space="preserve">Annual report &gt; Sustainability report &gt; People &gt; Gender diversity and representation in leadership roles</t>
  </si>
  <si>
    <t xml:space="preserve">Two-year apprenticeship program at Baden headquarters</t>
  </si>
  <si>
    <t xml:space="preserve">Each year, we train around 50 apprentices in various functions – mainly manufacturing – at our Baden headquarters.</t>
  </si>
  <si>
    <t xml:space="preserve">Annual report &gt; Sustainability report &gt; People &gt; Employee learning and development &gt; Addressing future talent and skills needs</t>
  </si>
  <si>
    <t xml:space="preserve">Partnership with UNITECH International giving STEM students coaching and project opportunities</t>
  </si>
  <si>
    <t xml:space="preserve">Through this collaboration, Accelleron provides students with real-world exposure, coaching, and project opportunities that connect academic excellence with practical application.</t>
  </si>
  <si>
    <t xml:space="preserve">Company-wide employee learning with an AI-enhanced learning platform and tracked learning hours</t>
  </si>
  <si>
    <t xml:space="preserve">We measure learning progress through the reporting of average annual learning hours per employee, which in 2025 was over 17 hours.</t>
  </si>
  <si>
    <t xml:space="preserve">Strategy-linked leadership development initiatives for managers</t>
  </si>
  <si>
    <t xml:space="preserve">Each year, between 150 and 200 of our managers participate in strategy-linked leadership development initiatives designed to strengthen our leadership culture and ensure that our most relevant content and values are consistently lived and embedded throughout the organization.</t>
  </si>
  <si>
    <t xml:space="preserve">Annual report &gt; Sustainability report &gt; People &gt; Employee learning and development &gt; We develop talent to drive sustainable growth</t>
  </si>
  <si>
    <t xml:space="preserve">Employee Resource Groups (Female Network and Young Accellerators)</t>
  </si>
  <si>
    <t xml:space="preserve">Currently there are two ERGs, one Female Network and the Young Accellerators, designed for early-career professionals to build community, share knowledge, and accelerate development.</t>
  </si>
  <si>
    <t xml:space="preserve">Annual report &gt; Sustainability report &gt; People &gt; Inclusion and diversity at Accelleron</t>
  </si>
  <si>
    <t xml:space="preserve">Global gender-neutral parental leave program including adoption and surrogacy</t>
  </si>
  <si>
    <t xml:space="preserve">To promote a more inclusive and equitable working environment, a gender-neutral parental leave program has been implemented globally.</t>
  </si>
  <si>
    <t xml:space="preserve">Annual report &gt; Sustainability report &gt; People &gt; Flexible policies for enhanced employee well-being and employer attractiveness</t>
  </si>
  <si>
    <t xml:space="preserve">Unconscious-bias training for recruiters and bias-mitigating recruitment software</t>
  </si>
  <si>
    <t xml:space="preserve">Our recruiters are regularly trained on unconscious bias, and our recruitment setup and software are designed in a way that mitigates potential biases in the selection process.</t>
  </si>
  <si>
    <t xml:space="preserve">Annual report &gt; Sustainability report &gt; People &gt; Creating opportunities</t>
  </si>
  <si>
    <t xml:space="preserve">Local IDE@A inclusion workshops held across most operating countries</t>
  </si>
  <si>
    <t xml:space="preserve">To capture these, we conducted workshops in most of our countries in 2025 to identify, align, and agree on local development areas and actions.</t>
  </si>
  <si>
    <t xml:space="preserve">Internal GROW and LEAD talent and leadership development programmes for employees</t>
  </si>
  <si>
    <t xml:space="preserve">In 2025, 90employees (previous year 100) took part in the internal development programmes GROW and LEAD, of these 23women(previous year 30).</t>
  </si>
  <si>
    <t xml:space="preserve">Sustainability &gt; Social matters &gt; Own workforce &gt; Education and further training &gt; Internal development programmes</t>
  </si>
  <si>
    <t xml:space="preserve">Vocational apprenticeship training for young people employed by the company</t>
  </si>
  <si>
    <t xml:space="preserve">Geberit employed 289apprentices at the end of 2025 (previous year 284).</t>
  </si>
  <si>
    <t xml:space="preserve">Sustainability &gt; Social matters &gt; Own workforce &gt; Education and further training &gt; Vocational training and internships</t>
  </si>
  <si>
    <t xml:space="preserve">Local cooperations with universities and institutes for student internships and theses</t>
  </si>
  <si>
    <t xml:space="preserve">The local companies maintain local cooperations for internships and theses.</t>
  </si>
  <si>
    <t xml:space="preserve">Sustainability &gt; Social matters &gt; Own workforce &gt; Education and further training &gt; University cooperations and talent acquisition</t>
  </si>
  <si>
    <t xml:space="preserve">In-person and digital training for plumbers, sanitary engineers and other customer employees at 30 Geberit Information Centres</t>
  </si>
  <si>
    <t xml:space="preserve">This is apparent in particular in the sharp increases in visitor numbers to customer events as well as higher attendance numbers at in-person training at the Geberit Information Centres, where Geberit reinforced specialist expertise and interpersonal dialogue.</t>
  </si>
  <si>
    <t xml:space="preserve">Sustainability &gt; Social matters &gt; Employees in the value chain &gt; Measures and key figures in the reporting year &gt; Employees at customer companies</t>
  </si>
  <si>
    <t xml:space="preserve">Disclosure of the share of employees with disabilities</t>
  </si>
  <si>
    <t xml:space="preserve">People with disabilities are part of the company – in 2025, they accounted for 6.5% of the workforce.</t>
  </si>
  <si>
    <t xml:space="preserve">Sustainability &gt; Sustainability 2025 at a glance &gt; Inclusive workplaces</t>
  </si>
  <si>
    <t xml:space="preserve">Sells mainly via wholesalers to plumbers who install its products</t>
  </si>
  <si>
    <t xml:space="preserve">The main customers at wholesalers are plumbers who install the Geberit products and solutions in buildings.</t>
  </si>
  <si>
    <t xml:space="preserve">Sustainability &gt; Business model and value chain &gt; Value chain &gt; Downstream value chain</t>
  </si>
  <si>
    <t xml:space="preserve">Seven sexual harassment cases were reported and handled through internal investigations, leading to two dismissals, two departures and three disciplinary warnings. The report states no fines or outside findings, so this costs no points.</t>
  </si>
  <si>
    <t xml:space="preserve">However, seven cases of sexual harassment were reported.</t>
  </si>
  <si>
    <t xml:space="preserve">Sustainability &gt; Governance matters &gt; Corporate culture and antitrust legislation &gt; Measures and key figures in the reporting year &gt; Human rights</t>
  </si>
  <si>
    <t xml:space="preserve">creativity: creates</t>
  </si>
  <si>
    <t xml:space="preserve">Perfumery &amp; Beauty business unit creates fragrances for global and local brands, using in-house perfumers</t>
  </si>
  <si>
    <t xml:space="preserve">P&amp;B is a leading creation and innovation partner for the most iconic global and local brands in consumer goods, lifestyle, and luxury beauty.</t>
  </si>
  <si>
    <t xml:space="preserve">Annual report &gt; Our Company &gt; Our Strategy &gt; Our Approach to Business &gt; Our Business Units &gt; Perfumery &amp; Beauty (P&amp;B)</t>
  </si>
  <si>
    <t xml:space="preserve">Youth Impact program in Türkiye where students co-create sustainability solutions</t>
  </si>
  <si>
    <t xml:space="preserve">In collaboration with WBCSD Türkiye and the Yenibirlider Association, we ran the Youth Impact program, selecting 21 students to co-create solutions in sustainability, together with industry representatives.</t>
  </si>
  <si>
    <t xml:space="preserve">Annual report &gt; Sustainability Statements &gt; General information &gt; Community engagement &gt; Working with communities all over the world</t>
  </si>
  <si>
    <t xml:space="preserve">Donated lab equipment to a Tanzanian university for pharmaceutical education</t>
  </si>
  <si>
    <t xml:space="preserve">Lab equipment from our former Kaisersaugst facilities was donated to a Tanzanian university, supporting pharmaceutical education under the BIRS program.</t>
  </si>
  <si>
    <t xml:space="preserve">Annual report &gt; Sustainability Statements &gt; General information &gt; Community engagement &gt; Switzerland: Lab equipment donation</t>
  </si>
  <si>
    <t xml:space="preserve">Employee volunteering for a local food pantry in Belvidere, NJ</t>
  </si>
  <si>
    <t xml:space="preserve">In Belvidere, NJ, volunteers collected and sorted 1,200 pounds of food for the Warren County Food Pantry.</t>
  </si>
  <si>
    <t xml:space="preserve">community: external_education; cross_cultural: connecting_communities</t>
  </si>
  <si>
    <t xml:space="preserve">Partnerships with local organizations and training centers giving people with disabilities training, job shadowing and employment pathways</t>
  </si>
  <si>
    <t xml:space="preserve">We partnered with local organizations, training centers, and inclusion networks to support people with disabilities.</t>
  </si>
  <si>
    <t xml:space="preserve">Employee Resource Groups hosting global events</t>
  </si>
  <si>
    <t xml:space="preserve">Our Employee Resource Groups continued to grow as engines of connection and belonging, hosting more than sixty global events.</t>
  </si>
  <si>
    <t xml:space="preserve">Annual report &gt; Sustainability Statements &gt; Social information &gt; Own workforce &gt; Inclusion and belonging</t>
  </si>
  <si>
    <t xml:space="preserve">Global Allyship program introduced during Pride Month</t>
  </si>
  <si>
    <t xml:space="preserve">During Pride Month, we introduced a Global Allyship program to equip employees with tools and confidence to advocate for inclusion.</t>
  </si>
  <si>
    <t xml:space="preserve">External inclusion partnerships for gender equality, disability and the LGBTIQ+ community</t>
  </si>
  <si>
    <t xml:space="preserve">These include LEAD Network, focused on gender equality and strengthening mentoring opportunities and visibility for talent across industries; Purple Space, supporting people with diverse abilities; and Workplace Pride, advancing inclusion for our LGBTIQ+ community.</t>
  </si>
  <si>
    <t xml:space="preserve">Women Acceleration Program for women's career advancement</t>
  </si>
  <si>
    <t xml:space="preserve">We also had over 100 participants in our Women Acceleration Program, and elevated 630 Mental Health Champions company-wide.</t>
  </si>
  <si>
    <t xml:space="preserve">Annual report &gt; Our Performance &gt; Sustainability &gt; Our Activities &gt; How inclusion and belonging are building a more engaged workforce</t>
  </si>
  <si>
    <t xml:space="preserve">Inclusive Sensory Panels program hiring blind and visually impaired professionals in several countries</t>
  </si>
  <si>
    <t xml:space="preserve">A global inclusive Sensory Panels program: Partnering with agencies in China, Mexico, the UK, Switzerland, India, South Africa, and Singapore to hire blind and visually impaired professionals for sensory evaluation panels — bringing unique perspectives to product development and promoting workplace inclusion</t>
  </si>
  <si>
    <t xml:space="preserve">Annual report &gt; Sustainability Statements &gt; Social information &gt; Workers in the value chain &gt; Advancing supplier diversity and inclusion</t>
  </si>
  <si>
    <t xml:space="preserve">Local Supplier Diversity program supporting women-owned and ethnic minority-owned businesses</t>
  </si>
  <si>
    <t xml:space="preserve">A local Supplier Diversity program: Supporting women-owned and ethnic minority-owned businesses, reinforcing our commitment to equitable economic opportunities</t>
  </si>
  <si>
    <t xml:space="preserve">Company perfumer created bespoke fragrances and olfactory installations for an art exhibition at the Petit Palais museum in Paris</t>
  </si>
  <si>
    <t xml:space="preserve">Our perfumer Daphné Bugey created bespoke fragrances and designed olfactory installations exclusively for this exhibition.</t>
  </si>
  <si>
    <t xml:space="preserve">Annual report &gt; Our Businesses &gt; Perfumery &amp; Beauty &gt; museum collaboration (Petit Palais)</t>
  </si>
  <si>
    <t xml:space="preserve">Corporate venture arm (dsm-firmenich Ventures) investing in early-stage startups for strategic partnerships</t>
  </si>
  <si>
    <t xml:space="preserve">We made investments in two startups: P2 Sciences and ExoLab.</t>
  </si>
  <si>
    <t xml:space="preserve">Annual report &gt; Our Company &gt; Science &amp; Research &gt; dsm-firmenich Ventures</t>
  </si>
  <si>
    <t xml:space="preserve">creativity: enables; community: community_investment</t>
  </si>
  <si>
    <t xml:space="preserve">Donated the DSM Art Collection to the municipality of Heerlen, with public exhibition in 2025</t>
  </si>
  <si>
    <t xml:space="preserve">In 2025, 200 pieces were exhibited publicly for the first time during the exhibition “Rooted in Change,” making this cultural heritage accessible to the broader community.</t>
  </si>
  <si>
    <t xml:space="preserve">Annual report &gt; Sustainability Statements &gt; General information &gt; Community engagement &gt; Netherlands: DSM Art Collection donation</t>
  </si>
  <si>
    <t xml:space="preserve">LearnNow learning platform and academies for employees</t>
  </si>
  <si>
    <t xml:space="preserve">Designed to inspire curiosity and collaboration, LearnNow offers access to more than 45,000 virtual courses, 16,000 business books, more than 40 academies for our Business Units and Business Partners, and company leadership programs, creating opportunities for growth across all roles and regions.</t>
  </si>
  <si>
    <t xml:space="preserve">Annual report &gt; Sustainability Statements &gt; Social information &gt; Own workforce &gt; Training and skills</t>
  </si>
  <si>
    <t xml:space="preserve">Through the Jasmine Coalition, entrepreneurial and financial literacy training for jasmine pickers and farmers in Egypt</t>
  </si>
  <si>
    <t xml:space="preserve">Delivered tailored entrepreneurial and financial literacy training to over 340 pickers and farmers, with a strong focus on women’s participation</t>
  </si>
  <si>
    <t xml:space="preserve">Annual report &gt; Sustainability Statements &gt; Social information &gt; Workers in the value chain &gt; Key activities and achievements delivered in 2025</t>
  </si>
  <si>
    <t xml:space="preserve">Through the Jasmine Coalition, access to financial services including microloans for picker families</t>
  </si>
  <si>
    <t xml:space="preserve">Supported access to financial services, including prepaid cards, savings accounts, and microloans, enabling families to improve their livelihoods</t>
  </si>
  <si>
    <t xml:space="preserve">Through the Jasmine Coalition, summer school programs and children's rights sessions for children in jasmine-growing communities</t>
  </si>
  <si>
    <t xml:space="preserve">Enrolled more than 2,600 children in summer school programs and awareness sessions on children’s rights</t>
  </si>
  <si>
    <t xml:space="preserve">Long-running partnership with the UN World Food Programme, supported by the Progress Foundation, renewed through 2027</t>
  </si>
  <si>
    <t xml:space="preserve">Supported by the Progress Foundation, our two-decade partnership with the World Food Programme (WFP) renewed in 2025 through to 2027.</t>
  </si>
  <si>
    <t xml:space="preserve">Annual report &gt; Our Performance &gt; Sustainability &gt; Our Activities &gt; Tackling rising malnutrition and reducing the global micronutrient gap</t>
  </si>
  <si>
    <t xml:space="preserve">Founding member of the Millers for Nutrition coalition, giving technical support to millers</t>
  </si>
  <si>
    <t xml:space="preserve">Through M4N, we provide technical support to millers and partners to help improve access to quality premix and ensure compliance with national standards.</t>
  </si>
  <si>
    <t xml:space="preserve">Annual report &gt; Sustainability Statements &gt; Social information &gt; Consumers and end-users &gt; The Gates Foundation</t>
  </si>
  <si>
    <t xml:space="preserve">Cases substantiated through the company's own Speak Up process. The report states no fines, sanctions or compensation for human rights incidents in its own workforce in 2025. This is listed for the team's information and costs no points.</t>
  </si>
  <si>
    <t xml:space="preserve">Moreover, there were 72 alleged cases of incidents (2024: 52) of discrimination and harassment. 60 cases were closed, 14 of these cases (2024: 12) were substantiated.</t>
  </si>
  <si>
    <t xml:space="preserve">Annual report &gt; Sustainability Statements &gt; Social information &gt; Own workforce &gt; Incidents and human rights impacts</t>
  </si>
  <si>
    <t xml:space="preserve">Fine fragrance creative centre that co-creates fine fragrances with Chinese brands</t>
  </si>
  <si>
    <t xml:space="preserve">L’Appartement 125, our Fine Fragrance Creative Centre in Shanghai, connects Givaudan with Chinese brands to co-create the future of fine fragrances.</t>
  </si>
  <si>
    <t xml:space="preserve">Annual report &gt; Delivering on our 2025 ambitions &gt; Co-creation: driving innovation together</t>
  </si>
  <si>
    <t xml:space="preserve">Leadership Senses leadership development curriculum for employees</t>
  </si>
  <si>
    <t xml:space="preserve">Since its launch in 2015, a total of 3,038 managers have participated in of the five modules of Leadership Senses: Discover, Begin, Grow, Evolve and Enhance.</t>
  </si>
  <si>
    <t xml:space="preserve">Annual report &gt; Our people and culture &gt; Growing skills and careers &gt; Developing and managing our talented people</t>
  </si>
  <si>
    <t xml:space="preserve">Givaudan Perfumery School and mentoring/trainee programmes for flavourists</t>
  </si>
  <si>
    <t xml:space="preserve">Taste &amp; Wellbeing features a dedicated sales academy, while Fragrance &amp; Beauty continues to build excellence through the renowned Givaudan Perfumery School.</t>
  </si>
  <si>
    <t xml:space="preserve">Annual report &gt; Our people and culture &gt; Growing skills and careers</t>
  </si>
  <si>
    <t xml:space="preserve">Employee Community Groups for women, ethnic groups and LGBTQIA+ employees</t>
  </si>
  <si>
    <t xml:space="preserve">Across many sites, we have active Employee Community Groups that represent, support and celebrate diverse communities, including women, ethnic groups and LGBTQIA+ employees.</t>
  </si>
  <si>
    <t xml:space="preserve">Annual report &gt; Our people and culture &gt; Inclusively Givaudan &gt; Our approach to inclusion</t>
  </si>
  <si>
    <t xml:space="preserve">Unconscious Bias eLearning programme for employees</t>
  </si>
  <si>
    <t xml:space="preserve">An additional 4,526 people have completed the eLearning on Unconscious Bias in 2025, designed to enhance self-awareness of biases and deepen understanding of inclusivity.</t>
  </si>
  <si>
    <t xml:space="preserve">Equal pay certification (Fair-ON-Pay) across countries</t>
  </si>
  <si>
    <t xml:space="preserve">After initially securing equal pay certification for all sites in Switzerland in 2021, we have added 15 more country certifications over the past four years, and we are pursuing our certification for three more sites.</t>
  </si>
  <si>
    <t xml:space="preserve">Annual report &gt; Our people and culture &gt; Rewarding contribution to our success</t>
  </si>
  <si>
    <t xml:space="preserve">Accessibility features on corporate website for people with disabilities</t>
  </si>
  <si>
    <t xml:space="preserve">In line with our commitment, we enhanced several functionalities of our corporate website in 2024 to make it more accessible to people with a range of needs relating to vision, hearing, cognition and neurodivergence.</t>
  </si>
  <si>
    <t xml:space="preserve">Front-End Innovation support for start-ups with technical, market and commercialisation capabilities</t>
  </si>
  <si>
    <t xml:space="preserve">Our Front-End Innovation (FEI) efforts enhance our innovation capacity by supporting promising start-ups that are creating disruptive innovations.</t>
  </si>
  <si>
    <t xml:space="preserve">Givaudan Foundation support for women's literacy and entrepreneurship</t>
  </si>
  <si>
    <t xml:space="preserve">The Givaudan Foundation continues to support broader community investments into women’s literacy and entrepreneurship.</t>
  </si>
  <si>
    <t xml:space="preserve">Annual report &gt; Human rights and labour conditions &gt; Strengthening human rights in the ylang-ylang supply chain (Our key actions)</t>
  </si>
  <si>
    <t xml:space="preserve">Fragrance and flavour creation for customer briefs, co-created with customers and partners</t>
  </si>
  <si>
    <t xml:space="preserve">Co-creation and collaboration with our customers and partners are powerful drivers of innovation and long-term value and help us find cutting-edge solutions for the more than 300,000 briefs we receive each year.</t>
  </si>
  <si>
    <t xml:space="preserve">Givaudan Foundation community projects with partner organisations</t>
  </si>
  <si>
    <t xml:space="preserve">In 2025, the Foundation ran 67 social and environmental projects in 27 countries that touched more than 90,200 community members where Givaudan sources and operates, and worked with 63 partner organisations, to ensure projects are relevant and maximise positive impact.</t>
  </si>
  <si>
    <t xml:space="preserve">Annual report &gt; Business conduct &gt; Maximising our benefit to communities &gt; Givaudan Foundation</t>
  </si>
  <si>
    <t xml:space="preserve">Community initiatives tied to the Communities purpose target</t>
  </si>
  <si>
    <t xml:space="preserve">Through our Sourcing4Good programme we achieved 69% of materials and services responsibly sourced and in pursuit of our efforts to improve the lives of millions of people in the communities where we source and operate, we reached 820,137 beneficiaries.</t>
  </si>
  <si>
    <t xml:space="preserve">Annual report &gt; ESG impact and progress &gt; Accelerating progress on our ESG agenda</t>
  </si>
  <si>
    <t xml:space="preserve">Foundation-funded school sanitation and safe-water project in turmeric-sourcing communities in India</t>
  </si>
  <si>
    <t xml:space="preserve">The project included the construction of five new toilets with handwashing stations and the installation of four water filtration systems to ensure access to safe drinking water, directly benefiting 572 students and 44 staff members.</t>
  </si>
  <si>
    <t xml:space="preserve">Annual report &gt; Water security &gt; Our supply chain, partners and communities &gt; Our actions and progress</t>
  </si>
  <si>
    <t xml:space="preserve">Child labour training and vigilance programme for supplier employees and field collectors</t>
  </si>
  <si>
    <t xml:space="preserve">Since its start, the programme has covered 55 supply chains and provided training to more than 3,000 external partners, such as supplier employees and field collectors.</t>
  </si>
  <si>
    <t xml:space="preserve">Annual report &gt; Human rights and labour conditions &gt; Child labour, forced labour, compulsory labour and human trafficking</t>
  </si>
  <si>
    <t xml:space="preserve">Farmer training group promoting good agricultural, social and environmental practices in patchouli supply chain</t>
  </si>
  <si>
    <t xml:space="preserve">With a little over 500 farmers engaged through our Patchouli Champions Group (PCG), our approach to promoting good agricultural, social and environmental practices remains comprehensive.</t>
  </si>
  <si>
    <t xml:space="preserve">Annual report &gt; Biodiversity and ecosystems &gt; Addressing risks associated with cultivated raw materials</t>
  </si>
  <si>
    <t xml:space="preserve">Humanitarian Fund donations for disaster response</t>
  </si>
  <si>
    <t xml:space="preserve">At the end of 2025, we committed a further CHF 150,000 donation to the Swiss Red Cross to support communities in Indonesia, Sri Lanka, and Vietnam following devastating cyclones, totaling CHF 350,000 for the year.</t>
  </si>
  <si>
    <t xml:space="preserve">Annual report &gt; Business conduct &gt; Maximising our benefit to communities &gt; Humanitarian fund</t>
  </si>
  <si>
    <t xml:space="preserve">Employee volunteering in Givaudan Foundation projects</t>
  </si>
  <si>
    <t xml:space="preserve">Since 2014, over 2,500 Givaudan employees have actively participated in the Foundation’s work as volunteers.</t>
  </si>
  <si>
    <t xml:space="preserve">In-house corporate design: a visual language and brand system across platforms</t>
  </si>
  <si>
    <t xml:space="preserve">To develop the brand, a visual language and system was created to unify the user experience across all platforms.</t>
  </si>
  <si>
    <t xml:space="preserve">Annual report &gt; Sika Purpose &amp; Brand &gt; Corporate Identity</t>
  </si>
  <si>
    <t xml:space="preserve">Code of Conduct translated so all employees can understand it</t>
  </si>
  <si>
    <t xml:space="preserve">The CoC is available in 49 languages to ensure that all Sika employees worldwide can understand and follow it.</t>
  </si>
  <si>
    <t xml:space="preserve">Annual report &gt; Sustainability Report &gt; Policies and guidelines</t>
  </si>
  <si>
    <t xml:space="preserve">Diversity training for managers (USA) and all employees (Canada)</t>
  </si>
  <si>
    <t xml:space="preserve">In the USA, “Leading Diverse Teams” training for all people managers has been rolled out this year, emphasizing gender and generational dynamics, while Canada has offered training to all employees on the topic of diversity in the workplace.</t>
  </si>
  <si>
    <t xml:space="preserve">Annual report &gt; Sustainability Report &gt; Own workforce &gt; Equal treatment and opportunities &gt; Gender diversity and equality</t>
  </si>
  <si>
    <t xml:space="preserve">New plant in Argentina operated and managed entirely by women</t>
  </si>
  <si>
    <t xml:space="preserve">In Argentina, Sika has opened a new plant, the first one to be 100% operated and managed by women.</t>
  </si>
  <si>
    <t xml:space="preserve">Company-wide employee training</t>
  </si>
  <si>
    <t xml:space="preserve">In 2025, each employee received an average of 14.0 hours of training (2024: 14.7).</t>
  </si>
  <si>
    <t xml:space="preserve">Annual report &gt; Sustainability Report &gt; Own workforce &gt; Equal treatment and opportunities &gt; Metrics &gt; Training and skills development</t>
  </si>
  <si>
    <t xml:space="preserve">Sika Business School and internal academies offering sales, professional skills and functional training for employees</t>
  </si>
  <si>
    <t xml:space="preserve">Along with the talent management and leadership training portfolio, the Sika Business School offers sales training, professional skills training, and support to Sika academies in the areas of procurement, operations, and sustainability.</t>
  </si>
  <si>
    <t xml:space="preserve">Annual report &gt; Sustainability Report &gt; Own workforce &gt; Equal treatment and opportunities &gt; Learning and development activities</t>
  </si>
  <si>
    <t xml:space="preserve">University project sponsorships with internships and traineeships for students</t>
  </si>
  <si>
    <t xml:space="preserve">As a project sponsor of several universities, Sika engages in a lively dialogue with young talent and offers a wide range of internship and traineeship opportunities for a variety of different academic backgrounds, including chemistry, business studies, industrial engineering, chemical engineering, civil engineering, architecture, and material sciences.</t>
  </si>
  <si>
    <t xml:space="preserve">Annual report &gt; Sustainability Report &gt; Own workforce &gt; Equal treatment and opportunities &gt; Metrics &gt; Age repartition</t>
  </si>
  <si>
    <t xml:space="preserve">Community engagement projects</t>
  </si>
  <si>
    <t xml:space="preserve">The company supports communities through engagement projects.</t>
  </si>
  <si>
    <t xml:space="preserve">Annual report &gt; Value Creation for All Stakeholders &gt; Society &amp; Communities</t>
  </si>
  <si>
    <t xml:space="preserve">Technical training and guidance for customers delivered in local languages</t>
  </si>
  <si>
    <t xml:space="preserve">By maintaining a strong local presence, Sika’s technical teams deliver training and guidance in local languages, ensuring clear communication and understanding throughout the technical application process.</t>
  </si>
  <si>
    <t xml:space="preserve">Annual report &gt; Sustainability Report &gt; Pollution &gt; Training for customers and product users</t>
  </si>
  <si>
    <t xml:space="preserve">Women of Sika employee committee in North America</t>
  </si>
  <si>
    <t xml:space="preserve">In North America, Sika’s business-sponsored Women of Sika (WoS) Committee continues to meet and work, in dedicated sub-committees, on specific topics, such as communication, recruiting, networking, and training.</t>
  </si>
  <si>
    <t xml:space="preserve">Women in Salesforce program in Latin America developing women new to construction or sales</t>
  </si>
  <si>
    <t xml:space="preserve">It seeks to develop women with little experience in construction and/or sales through a commercial training curriculum where participants are given the opportunity to learn Sika’s business while being immersed in another country and culture.</t>
  </si>
  <si>
    <t xml:space="preserve">Global employee engagement survey offered in many languages, including diversity and inclusion topics</t>
  </si>
  <si>
    <t xml:space="preserve">Available in more than 30 languages, employees are invited to share their perception on key topics related to employee engagement, such as work environment, relations with superiors and team members, and diversity and inclusion.</t>
  </si>
  <si>
    <t xml:space="preserve">Annual report &gt; Sustainability Report &gt; Own workforce &gt; Working conditions &gt; Global employee engagement survey</t>
  </si>
  <si>
    <t xml:space="preserve">Sika's internal compliance process substantiated 12 cases in the 'Discrimination and sexual harassment' category in 2025, and the report states none were discrimination. These are internal findings only, with no court, regulator or outside-body finding disclosed.</t>
  </si>
  <si>
    <t xml:space="preserve">Discrimination and sexual harassment cases, which continue to represent a material share of substantiated matters.</t>
  </si>
  <si>
    <t xml:space="preserve">Annual report &gt; Sustainability Report &gt; Business integrity &gt; Metrics</t>
  </si>
  <si>
    <t xml:space="preserve">Taishin Arts Award, run by the company-backed arts foundation, funds and recognises contemporary visual, performing and interdisciplinary artists</t>
  </si>
  <si>
    <t xml:space="preserve">With a cumulative award prize of NT$3.5 million, the awards offer the largest sum in support of Taiwanese contemporary arts.</t>
  </si>
  <si>
    <t xml:space="preserve">Annual report &gt; Corporate responsibility &gt; Arts and Culture Development &gt; Taishin Arts Award</t>
  </si>
  <si>
    <t xml:space="preserve">Industry-academia internship program for university and vocational students</t>
  </si>
  <si>
    <t xml:space="preserve">In 2025, about 600 students were recruited into an internship program.</t>
  </si>
  <si>
    <t xml:space="preserve">Annual report &gt; Corporate responsibility &gt; Academic exchange</t>
  </si>
  <si>
    <t xml:space="preserve">Scholarships and summer internships for financially disadvantaged National Taiwan University students</t>
  </si>
  <si>
    <t xml:space="preserve">As part of its commitment to the community and talent development, the Company offers scholarships and summer internships for National Taiwan University students from financially disadvantaged back-grounds.</t>
  </si>
  <si>
    <t xml:space="preserve">Charity golf tournaments raising donations</t>
  </si>
  <si>
    <t xml:space="preserve">Taishin has also hosted charity golf tournaments since 2011, with a total of 703 participants and more than NT$24.6 million raised in charitable donations.</t>
  </si>
  <si>
    <t xml:space="preserve">Annual report &gt; Corporate responsibility &gt; Sports sponsorship</t>
  </si>
  <si>
    <t xml:space="preserve">Support for the Nantou County Youth Karate Team via customer donations</t>
  </si>
  <si>
    <t xml:space="preserve">Taishin began supporting the Nantou County Youth Karate Team in 2005, calling upon customers through the PayEasy online platform to participate in small-amount and receipt donations, with cumulative donations exceeding NT$119.26 million.</t>
  </si>
  <si>
    <t xml:space="preserve">Taishin University structured employee training and learning platform</t>
  </si>
  <si>
    <t xml:space="preserve">By integrating Taishin University with the CTMS, the company is able to incorporate managerial skill training with general education and other relevant courses, so that each employee may study on their own in a systematically structured course design.</t>
  </si>
  <si>
    <t xml:space="preserve">Annual report &gt; Employees &gt; Taishin University</t>
  </si>
  <si>
    <t xml:space="preserve">Nationwide ATM upgrade adding enlarged-font and barrier-free cardless withdrawal for elderly and visually impaired customers</t>
  </si>
  <si>
    <t xml:space="preserve">Taishin Bank has comprehensively upgraded nearly 4,000 ATMs nationwide, adding “enlarged font” and “barrier-free cardless withdrawal” features.</t>
  </si>
  <si>
    <t xml:space="preserve">Annual report &gt; Risk management &gt; Emerging risks &gt; Optimize financial services for the elderly and ensure inclusive finance</t>
  </si>
  <si>
    <t xml:space="preserve">Multilingual ATM interface and accessible ATMs for visually impaired customers</t>
  </si>
  <si>
    <t xml:space="preserve">The user interface was already available in Chinese and English, and a total of seven new languages including Japanese, Korean, Thai, Vietnamese, and Indonesian were added over time</t>
  </si>
  <si>
    <t xml:space="preserve">Annual report &gt; Operating Status &gt; Business plans &gt; ATM</t>
  </si>
  <si>
    <t xml:space="preserve">Online lost-card reporting usable by cardholders with hearing or speech impairments</t>
  </si>
  <si>
    <t xml:space="preserve">This feature enables cardholders with hearing or speech impairments to handle the process independently without having to make a phone call, thereby significantly improving financial inclusiveness.</t>
  </si>
  <si>
    <t xml:space="preserve">Annual report &gt; Operating Status &gt; Credit card business &gt; 2025</t>
  </si>
  <si>
    <t xml:space="preserve">Employee stress-relief workshop staffed by hired blind masseurs</t>
  </si>
  <si>
    <t xml:space="preserve">Taishin Holdings hires blind masseurs and masseuses to help employees relieve work stress, creating a happy and healthy work environment while contributing towards charity.</t>
  </si>
  <si>
    <t xml:space="preserve">Annual report &gt; Corporate Governance Report &gt; Employee rights and wellness</t>
  </si>
  <si>
    <t xml:space="preserve">English version of the bank app to widen access</t>
  </si>
  <si>
    <t xml:space="preserve">At the same time, it is committed to advancing inclusive finance by developing an English version of the APP to deliver inclusive financial services.</t>
  </si>
  <si>
    <t xml:space="preserve">Annual report &gt; Operating Status &gt; Digital Banking Business</t>
  </si>
  <si>
    <t xml:space="preserve">Friday Noon Concerts: free public concerts by invited artists at the company's headquarters</t>
  </si>
  <si>
    <t xml:space="preserve">Over the past 19 years, it has successfully organized a cumulative total of 442 performances.</t>
  </si>
  <si>
    <t xml:space="preserve">Annual report &gt; Corporate responsibility &gt; Arts and Culture Development &gt; Community campaigns &gt; Friday Noon Concerts</t>
  </si>
  <si>
    <t xml:space="preserve">Venture capital subsidiaries invest in start-ups and link them to group financing and listing services</t>
  </si>
  <si>
    <t xml:space="preserve">Venture capital companies first discover potential start-up companies, then commercial banks provide financing, and securities underwriters provide TWSE/TPEx listing services, so that the synergy and integration benefits of financial services can be brought into play.</t>
  </si>
  <si>
    <t xml:space="preserve">Annual report &gt; Operating Status &gt; Taishin Venture Capital &gt; Business scope &gt; Financial integration</t>
  </si>
  <si>
    <t xml:space="preserve">Ordinary SME lending</t>
  </si>
  <si>
    <t xml:space="preserve">The outstanding balance of SME loans reached NT$227 billion, an increase of NT$23.8 billion from 2024, representing a growth rate of 11.7%.</t>
  </si>
  <si>
    <t xml:space="preserve">Annual report &gt; Letter to Shareholders &gt; Wholesale Banking Services</t>
  </si>
  <si>
    <t xml:space="preserve">Standardised working-capital loan approval for micro enterprises</t>
  </si>
  <si>
    <t xml:space="preserve">In terms of micro enterprise service, we have established standardized approval processes to efficiently assist businesses in obtaining operating working capital, thereby achieving inclusive finance.</t>
  </si>
  <si>
    <t xml:space="preserve">Annual report &gt; Operating Status &gt; Business plans &gt; Micro enterprise service</t>
  </si>
  <si>
    <t xml:space="preserve">Regular art exhibitions in the TS Holdings Tower lobby, open to customers, employees and the community</t>
  </si>
  <si>
    <t xml:space="preserve">Since the first exhibition in 2006, there have been 87 shows, and the venue has become a perfect gateway into arts for customers, employees, and the community.</t>
  </si>
  <si>
    <t xml:space="preserve">Annual report &gt; Corporate responsibility &gt; Arts and Culture Development &gt; Community campaigns &gt; TS Holdings Tower Lobby Exhibitions</t>
  </si>
  <si>
    <t xml:space="preserve">creativity: enables; community: external_education</t>
  </si>
  <si>
    <t xml:space="preserve">'Twelve Nights of Cross-Disciplinary Dialogue' public art lecture series with artists, curators and critics</t>
  </si>
  <si>
    <t xml:space="preserve">As of December 2025, 10 lectures have been held, attracting 627 participants, with over 5,000 views of its written records and 140,000 views of its short video highlights.</t>
  </si>
  <si>
    <t xml:space="preserve">Annual report &gt; Corporate responsibility &gt; Arts and Culture Development &gt; Twelve Nights of Cross-Disciplinary Dialogue</t>
  </si>
  <si>
    <t xml:space="preserve">'Audible City Episode' outdoor theatre project produced with an artist troupe</t>
  </si>
  <si>
    <t xml:space="preserve">The six outdoor theater performances drew a total of 1,011 attendees.</t>
  </si>
  <si>
    <t xml:space="preserve">Annual report &gt; Corporate responsibility &gt; Arts and Culture Development &gt; Art &amp; Sustainability—2025 Audible City Episode</t>
  </si>
  <si>
    <t xml:space="preserve">Free financial literacy courses designed for artists and creative teams</t>
  </si>
  <si>
    <t xml:space="preserve">The courses were attended by approximately 140 art professionals to great acclaim.</t>
  </si>
  <si>
    <t xml:space="preserve">Annual report &gt; Corporate responsibility &gt; Arts and Culture Development &gt; Basic Financial Courses for Art Professionals</t>
  </si>
  <si>
    <t xml:space="preserve">creativity: enables; community: employee_development</t>
  </si>
  <si>
    <t xml:space="preserve">Employee arts courses covering art appreciation, theatre and arts films</t>
  </si>
  <si>
    <t xml:space="preserve">A total of 19 employee arts courses took place in 2025.</t>
  </si>
  <si>
    <t xml:space="preserve">Annual report &gt; Corporate responsibility &gt; Arts and Culture Development &gt; Employee arts courses</t>
  </si>
  <si>
    <t xml:space="preserve">Taishin Charity Foundation 'Power of Love' public-vote grant program for non-profits</t>
  </si>
  <si>
    <t xml:space="preserve">Over the past 16 years, a total of more than NT$420 million in charity funds has been used, benefiting 2,008 non-profit organizations and 6.56 million beneficiaries.</t>
  </si>
  <si>
    <t xml:space="preserve">Annual report &gt; Corporate responsibility &gt; Charity and Welfare &gt; The "Power of Love"</t>
  </si>
  <si>
    <t xml:space="preserve">Taishin Youth Foundation volunteer platform and annual Youth Volunteer Awards working with schools and charities</t>
  </si>
  <si>
    <t xml:space="preserve">The foundation also has long-term relationships with the central government (the Ministry of Education and the Ministry of Health and Welfare) and 22 municipal governments, more than 1,200 middle schools, and close to 100 charitable organizations and local volunteering centers.</t>
  </si>
  <si>
    <t xml:space="preserve">Annual report &gt; Corporate responsibility &gt; Charity and Welfare &gt; Taishin Youth Volunteer Awards</t>
  </si>
  <si>
    <t xml:space="preserve">Donates to an affiliated arts foundation (board-approved donation to the KGI Cultural and Arts Foundation)</t>
  </si>
  <si>
    <t xml:space="preserve">Donation to the KGI Cultural and Arts Foundation.</t>
  </si>
  <si>
    <t xml:space="preserve">Annual report &gt; II. Corporate Governance Report &gt; Board meetings &gt; Directors' recusal (2025.12.19, 7th meeting of the 9th term Board)</t>
  </si>
  <si>
    <t xml:space="preserve">Named education projects run through the group's foundations: tutoring, nutrition and scholarships for vocational high school students</t>
  </si>
  <si>
    <t xml:space="preserve">The Company has long been championing education projects via China Development Foundation, KGI Charity Foundation, and our subsidiaries, such as "Heritage 100 &amp; Tutoring 100," "Perfect Nutrition," and "Scholarship for skilled vocational high school students," in advoc ating the development of a sustainable society.</t>
  </si>
  <si>
    <t xml:space="preserve">Annual report &gt; I. Letter to Shareholders</t>
  </si>
  <si>
    <t xml:space="preserve">Group-wide employee volunteering program</t>
  </si>
  <si>
    <t xml:space="preserve">In addition, the Group’s total volunteer hours reached 88,319 hours in 2025, with an average service time 9.7 hours per person.</t>
  </si>
  <si>
    <t xml:space="preserve">Annual report &gt; IV. Operational Highlights &gt; 4.5 Corporate responsibility and ethical conduct</t>
  </si>
  <si>
    <t xml:space="preserve">community: community_investment; entrepreneurship: enabling</t>
  </si>
  <si>
    <t xml:space="preserve">'Local Revitalizer+' program: skilled employee volunteers coach local revitalization teams on financial management and business models and connect them to resources</t>
  </si>
  <si>
    <t xml:space="preserve">Over the past two years, the Company has empowered and supported 34 local revitalization teams.</t>
  </si>
  <si>
    <t xml:space="preserve">Charitable donations by the holding company and its subsidiaries</t>
  </si>
  <si>
    <t xml:space="preserve">The Company and its subsidiaries made a total of 73 donations in 2025, all of which were in line with the purpose of the donation.</t>
  </si>
  <si>
    <t xml:space="preserve">Annual report &gt; II. Corporate Governance Report &gt; Corporate governance practices &gt; (IX) Donations made to political parties, stakeholders and charity groups</t>
  </si>
  <si>
    <t xml:space="preserve">Group-wide employee training (internal and external courses; KGI Academy)</t>
  </si>
  <si>
    <t xml:space="preserve">In 2025, employees from our company and its subsidiaries engaged in a total of 682,311 hours of both internal and external training courses, including physical classes and online learning.</t>
  </si>
  <si>
    <t xml:space="preserve">Annual report &gt; IV. Operational Highlights &gt; 4.4.2 Education and Training for Employees in 2025</t>
  </si>
  <si>
    <t xml:space="preserve">English-language functions added to securities smart customer service for bilingual access</t>
  </si>
  <si>
    <t xml:space="preserve">In terms of friendly finance, service functions in English have been added to the smart customer service to create a convenient bilingual financial service environment.</t>
  </si>
  <si>
    <t xml:space="preserve">Annual report &gt; I. Letter to Shareholders &gt; (III) Securities Business</t>
  </si>
  <si>
    <t xml:space="preserve">Accessible-environment certification for securities branches serving disadvantaged groups</t>
  </si>
  <si>
    <t xml:space="preserve">It has also taken the lead in the industry to obtain the accessible environment certification.</t>
  </si>
  <si>
    <t xml:space="preserve">Gender composition of management and subsidiary leadership</t>
  </si>
  <si>
    <t xml:space="preserve">The proportion of female managers has increased to 50%, and all five of its subsidiaries are now led by female presidents.</t>
  </si>
  <si>
    <t xml:space="preserve">Annual report &gt; V. Risk management &gt; 5.6.4 Financial impacts and responsive measures in the event of technological or industrial changes</t>
  </si>
  <si>
    <t xml:space="preserve">creativity: enables; cross_cultural: connecting_communities</t>
  </si>
  <si>
    <t xml:space="preserve">Fubon Art Museum runs international art exhibitions with educational outreach for the public</t>
  </si>
  <si>
    <t xml:space="preserve">The Fubon Art Museum continues to advance international curatorial collaboration and expand the public impact of art through integrated educational outreach.</t>
  </si>
  <si>
    <t xml:space="preserve">Annual report &gt; Letter to Shareholders &gt; Foundations Continue to Expand Positive Influence through Holistic Public Welfare Platform</t>
  </si>
  <si>
    <t xml:space="preserve">Group-wide charitable donations, mostly funding the group's five foundations</t>
  </si>
  <si>
    <t xml:space="preserve">The Company and all subsidiaries specified in its business license donated a total of NT$ 596,343,159 in 2025, NT$98 million higher than in 2024.</t>
  </si>
  <si>
    <t xml:space="preserve">Annual report &gt; 4.13 Corporate Responsibilities and Ethics &gt; The Donation Overview of the Year</t>
  </si>
  <si>
    <t xml:space="preserve">Fubon Social Welfare Ambassador grants to nonprofits</t>
  </si>
  <si>
    <t xml:space="preserve">The 2025 “Fubon Social Welfare Ambassador" activity has subsidized 146 nonprofits and social welfare enterprises.</t>
  </si>
  <si>
    <t xml:space="preserve">Annual report &gt; 4.13 Corporate Responsibilities and Ethics &gt; Care for the Disadvantaged &gt; Fubon Charity Foundation</t>
  </si>
  <si>
    <t xml:space="preserve">Art museum teacher camps and school visits</t>
  </si>
  <si>
    <t xml:space="preserve">Additionally, more than 30 sessions of teacher camps and school visits were organized for the benefit of approximately 1,200 people.</t>
  </si>
  <si>
    <t xml:space="preserve">Annual report &gt; 4.13 Corporate Responsibilities and Ethics &gt; Education Promotion &gt; Fubon Life Art Museum Foundation</t>
  </si>
  <si>
    <t xml:space="preserve">Leadership programs and training for the company's own staff</t>
  </si>
  <si>
    <t xml:space="preserve">The Company organizes leadership programs using internal as well as external resources to enhance leadership and vision among managerial staff.</t>
  </si>
  <si>
    <t xml:space="preserve">Annual report &gt; 4.12 Employees &gt; 4.12.4 Employees' continuing education, training and career development planning</t>
  </si>
  <si>
    <t xml:space="preserve">Accessible financial service section in the Fubon Life app for elderly and visually impaired users</t>
  </si>
  <si>
    <t xml:space="preserve">Fubon Life was the first in the life insurance industry to create an “accessible financial service” section on its mobile APP, which features enlarged text, simplified commands, text- to-speech, voice OTP, and functions designed specifically to help the eld erly and visually impaired use the APP.</t>
  </si>
  <si>
    <t xml:space="preserve">Annual report &gt; 4.2 Fubon Life &gt; Customer service</t>
  </si>
  <si>
    <t xml:space="preserve">Visual Impairment and Wheelchair divisions added to the Kaohsiung Fubon Marathon</t>
  </si>
  <si>
    <t xml:space="preserve">A Visual Impairment Division and a Wheelchair Division have been added to improve the race’s inclusivity.</t>
  </si>
  <si>
    <t xml:space="preserve">Annual report &gt; 4.13 Corporate Responsibilities and Ethics &gt; Health Promotion</t>
  </si>
  <si>
    <t xml:space="preserve">Venture capital subsidiary invests in early- and mid-stage startups and provides management and consulting support</t>
  </si>
  <si>
    <t xml:space="preserve">The subsidiary invests in the early or middle stages of a business, helping it establish a competent management team and relationships with key customers while providing consultation services as needed.</t>
  </si>
  <si>
    <t xml:space="preserve">Annual report &gt; 4.8 Fubon Financial Holding Venture Capital &gt; 4.8.6 Long and short-term business plans</t>
  </si>
  <si>
    <t xml:space="preserve">Online account opening for SME customers at Fubon Bank (Hong Kong)</t>
  </si>
  <si>
    <t xml:space="preserve">SME customers were able to complete account opening entirely online without the need to visit a branch.</t>
  </si>
  <si>
    <t xml:space="preserve">Annual report &gt; 4.6 Fubon Bank (Hong Kong) &gt; New products and services planned for the future</t>
  </si>
  <si>
    <t xml:space="preserve">Fubon Art Foundation's Light &amp; Love Art Fair showcasing contemporary artists</t>
  </si>
  <si>
    <t xml:space="preserve">The campaign invited 40 artists to express their views of the world through contemporary artworks, thereby bridging communication between the public and the art world.</t>
  </si>
  <si>
    <t xml:space="preserve">Annual report &gt; 4.13 Corporate Responsibilities and Ethics &gt; Education Promotion &gt; Fubon Art Foundation</t>
  </si>
  <si>
    <t xml:space="preserve">Momo mini-incubation program funds production of children's TV shows, including the new WhooGuPo music show</t>
  </si>
  <si>
    <t xml:space="preserve">The program contributes resources to the production of children's TV shows and talent development in Taiwan; it also hosts workshops to facilitate the exchange of experience with international counterparts.</t>
  </si>
  <si>
    <t xml:space="preserve">Annual report &gt; 4.13 Corporate Responsibilities and Ethics &gt; Education Promotion &gt; Fubon Cultural &amp; Educational Foundation</t>
  </si>
  <si>
    <t xml:space="preserve">momo mini-Family Theater screens children's festival films at educational venues</t>
  </si>
  <si>
    <t xml:space="preserve">The program continues to source high -quality films from children’s film festivals worldwide, screening them at educational venues and on media platforms to broaden children’s vision and imagination through films.</t>
  </si>
  <si>
    <t xml:space="preserve">Fubon Artistic Achievement Awards for the Disabled and All-Love Orchestra, plus arts and career programs for people with disabilities</t>
  </si>
  <si>
    <t xml:space="preserve">To give people with disabilities an opportunity to showcase their talents, Fubon hosts the 12 th “Fubon Artistic Achievement Awards for the Disabled,” and supports the “All -Love Orchestra” comprising winners of the Performance Category of the awards delivered charity performances.</t>
  </si>
  <si>
    <t xml:space="preserve">Annual report &gt; 4.13 Corporate Responsibilities and Ethics &gt; Care for the Disadvantaged &gt; Taipei Fubon Bank Charity Foundation</t>
  </si>
  <si>
    <t xml:space="preserve">Financial Literacy Online Learning School and school outreach for children and youth</t>
  </si>
  <si>
    <t xml:space="preserve">Through the “Financial Literacy Online Learning School” and school outreach programs, the foundation promotes sound financial concepts, reaching more than 8,000 participants.</t>
  </si>
  <si>
    <t xml:space="preserve">Making Friends with Love student aid, including after-school care and nutrition for rural students</t>
  </si>
  <si>
    <t xml:space="preserve">The “Making Friends with Love” student aid activity has raised NT$125 million in 2025, benefiting more than 200,000 students.</t>
  </si>
  <si>
    <t xml:space="preserve">Employee financial-education volunteers teaching in remote elementary and junior high schools</t>
  </si>
  <si>
    <t xml:space="preserve">In 2025, the volunteers visited 40 elementary and junior high schools in remote areas to help children develop sound financial knowledge.</t>
  </si>
  <si>
    <t xml:space="preserve">Annual report &gt; 4.13 Corporate Responsibilities and Ethics &gt; The One Vision Act Volunteering Program &gt; Financial education volunteers</t>
  </si>
  <si>
    <t xml:space="preserve">One Vision Act employee volunteering program</t>
  </si>
  <si>
    <t xml:space="preserve">More than 41,000 hours of service were accumulated in 2025, which represented an increase of 83% compared to 2024.</t>
  </si>
  <si>
    <t xml:space="preserve">Annual report &gt; 4.13 Corporate Responsibilities and Ethics &gt; The One Vision Act Volunteering Program</t>
  </si>
  <si>
    <t xml:space="preserve">Long-running sponsorship of the Taipei Children's Arts Festival, an arts-education festival for children</t>
  </si>
  <si>
    <t xml:space="preserve">Bank SinoPac has sponsored the "Taipei Children's Arts Festival" for 18 consecutive years, fostering a high-quality environment for arts education, promoting cultural equity, and safeguarding the public’s right to access and enjoy the arts.</t>
  </si>
  <si>
    <t xml:space="preserve">Annual report &gt; Corporate Responsibility and Ethical Behavior &gt; Arts, Culture, and Sports</t>
  </si>
  <si>
    <t xml:space="preserve">Annual university business competition co-organized with National Chengchi University</t>
  </si>
  <si>
    <t xml:space="preserve">The initiative attracted participants from over 40 universities nationwide and nearly 600 outstanding students, showcasing the vast potential of innovative business models emerging from campuses across Taiwan.</t>
  </si>
  <si>
    <t xml:space="preserve">Annual report &gt; Research and Development &gt; Organizing the "SinoPac Holdings Business Competition"</t>
  </si>
  <si>
    <t xml:space="preserve">Co-organized AI competition fostering talent exchange between academia and industry</t>
  </si>
  <si>
    <t xml:space="preserve">The competition, themed “Stock Market Titans Showdown,” attracted 868 teams to register and participate.</t>
  </si>
  <si>
    <t xml:space="preserve">Annual report &gt; Research and Development &gt; Participation in the “SinoPac AI GO Competition”</t>
  </si>
  <si>
    <t xml:space="preserve">Financial literacy programs for students in Miaoli, Yunlin and Hualien</t>
  </si>
  <si>
    <t xml:space="preserve">SinoPac Securities continued promoting financial education starting in students’ formative years, integrating wealth management and sustainability concepts.</t>
  </si>
  <si>
    <t xml:space="preserve">Annual report &gt; Corporate Responsibility and Ethical Behavior &gt; Social Care</t>
  </si>
  <si>
    <t xml:space="preserve">Long-running partnership with a children and families charity supporting disadvantaged households</t>
  </si>
  <si>
    <t xml:space="preserve">Since 2018, SinoPac Securities has partnered with the Yunlin Branch of the Taiwan Fund for Children and Families to organize family-oriented activities, supporting disadvantaged households.</t>
  </si>
  <si>
    <t xml:space="preserve">Free medical outreach in rural Cambodia with Rotary International</t>
  </si>
  <si>
    <t xml:space="preserve">Amret Plc., in collaboration with Rotary International, organized free medical outreach programs in Kandal Province, Cambodia.</t>
  </si>
  <si>
    <t xml:space="preserve">SinoPac Business Accelerator providing mentorship and angel investment to startups</t>
  </si>
  <si>
    <t xml:space="preserve">By providing professional mentorship and business transformation programs, SinoPac acts as an angel investor, supporting startups in accelerating their growth and assisting them in achieving sustainable commercial objectives.</t>
  </si>
  <si>
    <t xml:space="preserve">Annual report &gt; Research and Development &gt; Industry-Academia Collaboration Project</t>
  </si>
  <si>
    <t xml:space="preserve">Barrier-free deposit program with fee waivers for customers with disabilities</t>
  </si>
  <si>
    <t xml:space="preserve">To promote care for vulnerable groups, the Bank launched dedicated deposit programs and fee concessions for customers with disabilities, such as the “Barrier-Free TWD Preferential Demand Deposit Program,” offering fee waivers including three free ATM withdrawals and six free interbank/online transfers, thereby upholding fair customer treatment and advancing inclusive and friendly financial services.</t>
  </si>
  <si>
    <t xml:space="preserve">Annual report &gt; King's Town Bank &gt; Current Year Business Plan &gt; Deposit Services</t>
  </si>
  <si>
    <t xml:space="preserve">Proxy Income Model credit assessment for people without traditional income documents</t>
  </si>
  <si>
    <t xml:space="preserve">To promote inclusive finance and fintech, the Bank applies a Proxy Income Model for credit assessment.</t>
  </si>
  <si>
    <t xml:space="preserve">Annual report &gt; Bank SinoPac &gt; Research and Development &gt; Results of Research and Development</t>
  </si>
  <si>
    <t xml:space="preserve">Accessible AAA-certified friendly financial website to reduce the digital gap</t>
  </si>
  <si>
    <t xml:space="preserve">Following the National Communications Commission’s “Accessible Web Development Guidelines,” aim to achieve the highest-level “AAA Certification” by launching the “New MMA Friendly Financial Website,” reducing the digital gap for disadvantaged groups.</t>
  </si>
  <si>
    <t xml:space="preserve">Annual report &gt; Bank SinoPac &gt; Long-term Business Development Plans &gt; Digital Banking</t>
  </si>
  <si>
    <t xml:space="preserve">Board gender composition disclosure</t>
  </si>
  <si>
    <t xml:space="preserve">In implementing gender equality within the Board of Directors, the 8th Board includes three female members, accounting for over 40% of the total, and Mme. Shi-kuan CHEN has been reappointed as the Board's Chairperson.</t>
  </si>
  <si>
    <t xml:space="preserve">Annual report &gt; Board Diversity and Independence &gt; Implementation Status</t>
  </si>
  <si>
    <t xml:space="preserve">Support for the 'Roar Now Bangkah' grassroots culture and music festival</t>
  </si>
  <si>
    <t xml:space="preserve">SinoPac Securities has supported the General Association of Chinese Culture’s “Roar Now Bangkah” event for three consecutive years.</t>
  </si>
  <si>
    <t xml:space="preserve">The outstanding balance of small and medium enterprise (SME) loans was NT$430,637 million, ranking fourth among domestic private banks in terms of market share.</t>
  </si>
  <si>
    <t xml:space="preserve">Annual report &gt; Bank SinoPac &gt; Main Business Overview &gt; Corporate Banking</t>
  </si>
  <si>
    <t xml:space="preserve">DA BOSS digital banking platform for SMEs</t>
  </si>
  <si>
    <t xml:space="preserve">In the area of integrated digital and physical experiences, Bank SinoPac’s dedication to building DA BOSS, a one-stop digital service platform for small and medium-sized enterprises, was recognized with “Taiwan’s Best Commercial Bank - SMEs” by FinanceAsia.</t>
  </si>
  <si>
    <t xml:space="preserve">Annual report &gt; Letter to Shareholders &gt; Consistently Recognized with Prestigious Awards</t>
  </si>
  <si>
    <t xml:space="preserve">Venture capital investment and counseling for investee companies and entrepreneurial teams</t>
  </si>
  <si>
    <t xml:space="preserve">Our main business is venture capital investment and the provision of investee company counseling and consulting services.</t>
  </si>
  <si>
    <t xml:space="preserve">Annual report &gt; SinoPac Venture Capital &gt; Scope of Business</t>
  </si>
  <si>
    <t xml:space="preserve">Art-based stress-relief and aesthetics programs for rural children, run with a social enterprise</t>
  </si>
  <si>
    <t xml:space="preserve">King’s Town Bank has collaborated with Social Entertainment Enterprise for five consecutive years since 2020 to promote art-based stress-relief and aesthetics programs for children in rural areas.</t>
  </si>
  <si>
    <t xml:space="preserve">Organizes a national computer graphics competition for rural and disadvantaged children</t>
  </si>
  <si>
    <t xml:space="preserve">Since 2022, King’s Town Bank has continuously organized the “PTWA National Computer Graphics Competition,” inspiring learning potential among rural and disadvantaged children through creative contests, expanding learning opportunities, and helping to narrow the urban–rural education gap.</t>
  </si>
  <si>
    <t xml:space="preserve">Naming sponsor of the main stage at a local music and creative-industries festival</t>
  </si>
  <si>
    <t xml:space="preserve">Bank SinoPac sponsored the “2025 Park Park Carnival” and served as the naming sponsor of the main stage, the “Park Park Stage.”</t>
  </si>
  <si>
    <t xml:space="preserve">Co-writes community songs with senior citizens</t>
  </si>
  <si>
    <t xml:space="preserve">Since 2019, Bank SinoPac has been running the “Song of Life Co-Creation Initiative,” co-writing a “Song of Life” representative of the community together with senior citizens.</t>
  </si>
  <si>
    <t xml:space="preserve">Arranges special performances of an original local musical for clients and charities</t>
  </si>
  <si>
    <t xml:space="preserve">SinoPac Securities promoted cultural equity by arranging special performances of the original musical “Reed Unbroken,” inviting clients and charitable organizations to participate, thereby supporting broader access to local arts.</t>
  </si>
  <si>
    <t xml:space="preserve">Supports a visual-media project teaching children media literacy about their hometowns</t>
  </si>
  <si>
    <t xml:space="preserve">Bank SinoPac supports the "Home From Above" project, which uses visual media to guide children in discovering their hometowns.</t>
  </si>
  <si>
    <t xml:space="preserve">Company-wide employee training framework, including the SinoPac University Program</t>
  </si>
  <si>
    <t xml:space="preserve">In 2025, total training expenditures amounted to NT$91 million, with a total of 437,659 participants attending various training programs.</t>
  </si>
  <si>
    <t xml:space="preserve">Annual report &gt; Workforce &gt; Talent Development and Training Framework</t>
  </si>
  <si>
    <t xml:space="preserve">Employee-produced, story-based information security awareness videos used in internal training</t>
  </si>
  <si>
    <t xml:space="preserve">To increase the diversity of training, in addition to external lecture courses, information security awareness videos produced by employees are also utilized, featuring vivid scenario-based stories relevant to daily life, to continuously strengthen the information security awareness of all employees.</t>
  </si>
  <si>
    <t xml:space="preserve">Annual report &gt; 4.8 Cyber Security Management</t>
  </si>
  <si>
    <t xml:space="preserve">Company-wide employee training through internal courses and external institutions</t>
  </si>
  <si>
    <t xml:space="preserve">In 2025, the company and its subsidiaries held 749 internal training courses, and selected personnel to participate in 1,463 training courses at specialized institutions, with a total of 236,851 participants.</t>
  </si>
  <si>
    <t xml:space="preserve">Annual report &gt; 4.4 Human resources &gt; 4.4.3 Employee Continuing Education and Training</t>
  </si>
  <si>
    <t xml:space="preserve">Bilingual service at every domestic bank branch, staffed by trained bilingual specialists, with bilingual forms, ATMs and digital channels</t>
  </si>
  <si>
    <t xml:space="preserve">Achieved 100% bilingual branches across all 139 branches in 2025, ahead of the 2026 target.</t>
  </si>
  <si>
    <t xml:space="preserve">Annual report &gt; Appendix: Sustainability-Related Financial Information &gt; 3.3.2 Opportunities on Strategy &gt; Expanding Markets for Financial Inclusion</t>
  </si>
  <si>
    <t xml:space="preserve">Barrier-free branch facilities and video sign language interpretation for customers with disabilities</t>
  </si>
  <si>
    <t xml:space="preserve">To optimize barrier-free facilities at business outlets, properties and equipment—net of NT$15,627 thousand was recognized, leading to cash outflows from investing activities for the period, with depreciation and amortization expenses of NT$3,251 thousand.</t>
  </si>
  <si>
    <t xml:space="preserve">Annual report &gt; Appendix: Sustainability-Related Financial Information &gt; 3.4.2 Financial Effects &gt; Expanding Markets for Financial Inclusion</t>
  </si>
  <si>
    <t xml:space="preserve">entrepreneurship: enabling; cross_cultural: customer_access</t>
  </si>
  <si>
    <t xml:space="preserve">Financial inclusion loan products, including micro-enterprise, young entrepreneur and new immigrant loans</t>
  </si>
  <si>
    <t xml:space="preserve">In response to market demand, total discounts and loans for financial inclusion products (e.g., micro-enterprise, young entrepreneur loans, new immigrant loans, and E-Mini loan) amounted to NT$138,514,913 thousand.</t>
  </si>
  <si>
    <t xml:space="preserve">Small-enterprise inclusion lending program aimed at financing barriers for businesses with revenue below NT$50 million</t>
  </si>
  <si>
    <t xml:space="preserve">Address financing challenges for small enterprises with annual revenues below NT$ 50 million, and support individuals and businesses with local social impact.</t>
  </si>
  <si>
    <t xml:space="preserve">Annual report &gt; Appendix: Sustainability-Related Financial Information &gt; 5.1.2 Sustainability Related Opportunities &gt; Expanding Markets for Financial Inclusion</t>
  </si>
  <si>
    <t xml:space="preserve">Sustainable Golden Triangle agri-food initiative combining advisory support, financing and promotion for small operators</t>
  </si>
  <si>
    <t xml:space="preserve">Through the power of credit to support individual entrepreneurs and small enterprises, and promotes the development of a sustainable agri-food system.</t>
  </si>
  <si>
    <t xml:space="preserve">Annual report &gt; 4.1 Business scope (keyword paragraph)</t>
  </si>
  <si>
    <t xml:space="preserve">E.SUN Venture Capital subsidiary providing startup investment</t>
  </si>
  <si>
    <t xml:space="preserve">Our subsidiaries—E.SUN Bank, E.SUN Securities, and E.SUN Venture Capital—contributed net profits of NT$32.786 billion, NT$2.61 billion, and NT$120 million, respectively.</t>
  </si>
  <si>
    <t xml:space="preserve">Annual report &gt; 1. Letter to Shareholders &gt; A Leap Forward</t>
  </si>
  <si>
    <t xml:space="preserve">Marriage subsidies and benefits for employees in same-sex marriages</t>
  </si>
  <si>
    <t xml:space="preserve">The Company provides marriage subsidies and other benefits to employees in same-sex marriages, implements Taiwan’s national gender equality policies, and continuously advances sexual harassment prevention and gender-equality awareness.</t>
  </si>
  <si>
    <t xml:space="preserve">Annual report &gt; 2.2 Corporate Governance &gt; 4. Social Issues</t>
  </si>
  <si>
    <t xml:space="preserve">Disclosure of women's share of workforce and management</t>
  </si>
  <si>
    <t xml:space="preserve">Women represent 57.51% of all employees across the Company and its subsidiaries, and women hold 42.23% of management positions.</t>
  </si>
  <si>
    <t xml:space="preserve">E.SUN Golden Seed Project, which builds school libraries and donates books to students</t>
  </si>
  <si>
    <t xml:space="preserve">As of December 2025, the company has established 198 E.SUN Libraries, donated over 470,000 books, and benefited more than 170,000 students.</t>
  </si>
  <si>
    <t xml:space="preserve">Annual report &gt; 4.5.3 Social aspect &gt; (1) Academic Support and Promotion &gt; A. E.SUN Golden Seed Project</t>
  </si>
  <si>
    <t xml:space="preserve">E.SUN Cultivating Outstanding Talent Scholarship for university students</t>
  </si>
  <si>
    <t xml:space="preserve">For 21 consecutive years, the company has awarded scholarships to nurture exceptional students, supporting talent in five major fields: management, technology, humanities, nursing, and ASEAN studies.</t>
  </si>
  <si>
    <t xml:space="preserve">Annual report &gt; 4.5.3 Social aspect &gt; (1) Academic Support and Promotion &gt; B. E.SUN Cultivating Outstanding Talent Scholarship</t>
  </si>
  <si>
    <t xml:space="preserve">E.SUN youth baseball championship, training camps and equipment subsidies for remote schools</t>
  </si>
  <si>
    <t xml:space="preserve">This initiative includes the E.SUN Cup Youth Baseball Championship, which has been held for 19 consecutive years, as well as the E.SUN Youth Baseball Training Camp and the E.SUN Youth Baseball Protection Camp, which feature touring lectures and health check activities.</t>
  </si>
  <si>
    <t xml:space="preserve">Annual report &gt; 4.5.3 Social aspect</t>
  </si>
  <si>
    <t xml:space="preserve">Blood donation campaign run with professional associations</t>
  </si>
  <si>
    <t xml:space="preserve">In 2025, the company collaborated with six professional associations (including those representing doctors, dentists, traditional Chinese medicine practitioners, accountants, lawyers, and architects) to donate 10,950 bags of blood.</t>
  </si>
  <si>
    <t xml:space="preserve">International free medical clinic in Cambodia held with Mackay Memorial Hospital</t>
  </si>
  <si>
    <t xml:space="preserve">Additionally, in 2025, E.SUN partnered with Mackay Memorial Hospital for the seventh time to hold the “Sending Love to Cambodia ~ International Free Clinic” event, providing 922 consultations over three days.</t>
  </si>
  <si>
    <t xml:space="preserve">Social impact credit cards that allocate part of card spending to charitable donations</t>
  </si>
  <si>
    <t xml:space="preserve">A portion of the spending on these cards is allocated for charitable donations, with general and administrative expenses of NT$62,436 thousand recognized, resulting in cash outflows from operating activities.</t>
  </si>
  <si>
    <t xml:space="preserve">Industry-academic collaboration, AI competitions and campus business plan contests</t>
  </si>
  <si>
    <t xml:space="preserve">To promote fintech development and identify AI innovation and digital finance talent, initiatives such as industry-academic collaboration, AI competitions, and campus business plan contests resulted in general and administrative expenses of NT$22,836 thousand, leading to cash outflows from operating activities.</t>
  </si>
  <si>
    <t xml:space="preserve">Annual report &gt; Appendix: Sustainability-Related Financial Information &gt; 3.4.2 Financial Effects &gt; Strategic Leveraging of Technology and AI</t>
  </si>
  <si>
    <t xml:space="preserve">Financial-friendly seminars for seniors in local communities</t>
  </si>
  <si>
    <t xml:space="preserve">Conducted financial friendly seminars for seniors within local communities and implemented internal staff training to foster an empathetic service culture.</t>
  </si>
  <si>
    <t xml:space="preserve">Yuanta Cultural and Educational Foundation runs a group-wide public welfare platform of charity, education and volunteer events</t>
  </si>
  <si>
    <t xml:space="preserve">A total of 5,069 volunteers participated in the events and the events benefited more than 770,000 participants.</t>
  </si>
  <si>
    <t xml:space="preserve">Annual report &gt; V. Corporate Social Responsibilities and Ethics</t>
  </si>
  <si>
    <t xml:space="preserve">Group-wide employee training program (management, professional, license, life and sustainability schools)</t>
  </si>
  <si>
    <t xml:space="preserve">Yuanta Group’s employee training program 2025 offered a total of 4,626 courses, attended by a total of 487,318 trainees.</t>
  </si>
  <si>
    <t xml:space="preserve">Annual report &gt; Sustainable development implementation &gt; Social issues &gt; Career development training plan implementation results</t>
  </si>
  <si>
    <t xml:space="preserve">creativity: enables; community: external_education; entrepreneurship: enabling</t>
  </si>
  <si>
    <t xml:space="preserve">Sand painting and bronze sculpture skills classes for people returning from prison, helping them find work or start a business</t>
  </si>
  <si>
    <t xml:space="preserve">For the past 10 years, it has been working with the Department of Corrections, Ministry of Justice, and the Taiwan Rehabilitation and Protection Association, Taipei Branch to organize the “Sand Painting Workshop” and the “ Bronze Sculpture Skills Class” for the learning of skills, train the employability and assist in starting a new business and construct a social rei ntegration mechanism.</t>
  </si>
  <si>
    <t xml:space="preserve">Annual report &gt; V. Corporate Social Responsibilities and Ethics &gt; (VI) Community Service &amp; Environmental Protection &gt; Assist After-Care's Return to Society</t>
  </si>
  <si>
    <t xml:space="preserve">Mandatory peaceful-workplace training for all employees covering human rights and DEI concepts</t>
  </si>
  <si>
    <t xml:space="preserve">This training includes content on Yuanta FHC’s human rights policy, the interests and rights of statutory laborers, diversity, equality and inclusion (DEI) concepts, as well as Yuanta FHC’s work rules, prevention of sexual harassment, and grievance channels.</t>
  </si>
  <si>
    <t xml:space="preserve">Annual report &gt; Sustainable development implementation &gt; 4. Social issues &gt; (1) Human rights management policies</t>
  </si>
  <si>
    <t xml:space="preserve">Employee volunteer session supporting persons with disabilities to break down social barriers and join community activities</t>
  </si>
  <si>
    <t xml:space="preserve">played T-ball games with students of the Tamsui Zhongzheng Sheltered Workshop organized by Eden Social Welfare Foundation commissioned by the New Taipei City Government Social Welfare Department to support persons with disabilities in breaking down social barriers and entering the community</t>
  </si>
  <si>
    <t xml:space="preserve">Annual report &gt; V. Corporate Social Responsibilities and Ethics &gt; (I) Involvement in Volunteers Public Welfare Platform &gt; Charity Volunteer Platform</t>
  </si>
  <si>
    <t xml:space="preserve">Yuanta Securities Investment Trust project to build accessible web pages for persons with disabilities</t>
  </si>
  <si>
    <t xml:space="preserve">Friendly services will be provided to persons with disabilities.</t>
  </si>
  <si>
    <t xml:space="preserve">Annual report &gt; Research and development &gt; Yuanta Securities Investment Trust &gt; (L) Project for construction of accessible web pages on official website</t>
  </si>
  <si>
    <t xml:space="preserve">Disclosure of female share of employees and supervisors</t>
  </si>
  <si>
    <t xml:space="preserve">In 2025, the proportion of female employees reached 63.18%, and the proportion of female supervisors was up to 56.88%.</t>
  </si>
  <si>
    <t xml:space="preserve">Annual report &gt; IX. Relations between laborers and employer &gt; (III) Working environment and employee safety</t>
  </si>
  <si>
    <t xml:space="preserve">Yuanta Venture Capital provides capital plus management and consulting services to investee enterprises</t>
  </si>
  <si>
    <t xml:space="preserve">Provide corporate operation, management, and consulting services to investee enterprises</t>
  </si>
  <si>
    <t xml:space="preserve">Annual report &gt; Business services of subsidiaries &gt; 8. Yuanta Venture Capital Co., Ltd. &gt; (1) Main business services</t>
  </si>
  <si>
    <t xml:space="preserve">Yuanta Dreams Take Flight Scholarship for students from rural and disadvantaged areas, run with Fu Jen Catholic University</t>
  </si>
  <si>
    <t xml:space="preserve">A total of 2,564 persons have been awarded the scholarship.</t>
  </si>
  <si>
    <t xml:space="preserve">Annual report &gt; V. Corporate Social Responsibilities and Ethics &gt; (III) Educate and Train Youth's Independence &gt; Scholarship to Train Talents in Rural Areas</t>
  </si>
  <si>
    <t xml:space="preserve">Online one-on-one tutoring for disadvantaged urban schoolchildren, delivered by Fu Jen Catholic University students</t>
  </si>
  <si>
    <t xml:space="preserve">Since 2014, 458 children have received the services, and a total of 4,960 class sessions have been held.</t>
  </si>
  <si>
    <t xml:space="preserve">Annual report &gt; V. Corporate Social Responsibilities and Ethics &gt; (III) Educate and Train Youth's Independence &gt; Online Tutor for Schoolchildren</t>
  </si>
  <si>
    <t xml:space="preserve">Yuanta Excellent Talents Scholarship for disadvantaged high-achieving students from high school to master's level</t>
  </si>
  <si>
    <t xml:space="preserve">For the past 10 years, it has been awarded to 665 students to help them pursue their dreams.</t>
  </si>
  <si>
    <t xml:space="preserve">Annual report &gt; V. Corporate Social Responsibilities and Ethics &gt; (III) Educate and Train Youth's Independence &gt; Yuanta Excellent Talents Scholarship</t>
  </si>
  <si>
    <t xml:space="preserve">NTU Hope Scholarships and corporate internships for financially disadvantaged students under a five-year plan with National Taiwan University</t>
  </si>
  <si>
    <t xml:space="preserve">NTU Hope Scholarships were offered to 10 students and corporate summer internship opportunities to 16 students.</t>
  </si>
  <si>
    <t xml:space="preserve">Annual report &gt; V. Corporate Social Responsibilities and Ethics &gt; (III) Educate and Train Youth's Independence &gt; NTU Hope Scholarships</t>
  </si>
  <si>
    <t xml:space="preserve">Yuanta Wealth Management Day: employee volunteers teach basic financial education in remote schools</t>
  </si>
  <si>
    <t xml:space="preserve">Over the past 8 years, Yuanta has organized 52 financial charity events that benefited 1,506 people with the help of 579 volunteers.</t>
  </si>
  <si>
    <t xml:space="preserve">Annual report &gt; V. Corporate Social Responsibilities and Ethics &gt; (IV) Inclusive Financing/Innovation &amp; Cultivation &gt; Yuanta Wealth Management Volunteer Activity</t>
  </si>
  <si>
    <t xml:space="preserve">Dream Big Yuanta Social Welfare Plan funds and staffs schools and social welfare groups' education projects</t>
  </si>
  <si>
    <t xml:space="preserve">In the past 9 years, it has worked with 60 groups to realize their dreams, involving 9,659 volunteers and benefiting 241,732 individuals.</t>
  </si>
  <si>
    <t xml:space="preserve">Annual report &gt; V. Corporate Social Responsibilities and Ethics &gt; (I) Involvement in Volunteers Public Welfare Platform &gt; Dream Big Yuanta Social Welfare Plan</t>
  </si>
  <si>
    <t xml:space="preserve">Long-term sponsorship of Kids' Bookhouse after-school learning centers for disadvantaged children in Taitung</t>
  </si>
  <si>
    <t xml:space="preserve">Yuanta Foundation has sponsored “Kids’ Bookhouse” in Taitung for 15 years consecutively to help it hire the local youth to act as the cram school teachers and encourage college graduates to return to their hometown to provide services.</t>
  </si>
  <si>
    <t xml:space="preserve">Annual report &gt; V. Corporate Social Responsibilities and Ethics &gt; (II) Aid for Disadvantaged Group Caring for Children and Juvenile &gt; Train Local Teachers by Kids' Bookhouse in Taitung</t>
  </si>
  <si>
    <t xml:space="preserve">Love Book Fun drive collects donated books and devices for schools, after-school programs and libraries in rural areas</t>
  </si>
  <si>
    <t xml:space="preserve">Yuanta “Love Book Fun” has raised more than 10,000 books since it was initiated, and provided the abundant reading resources to 79 different entities throughout Taiwan.</t>
  </si>
  <si>
    <t xml:space="preserve">Annual report &gt; V. Corporate Social Responsibilities and Ethics &gt; (VI) Community Service &amp; Environmental Protection &gt; Yuanta Love Book Fun</t>
  </si>
  <si>
    <t xml:space="preserve">Company-wide employee training blueprint with in-person, online and blended courses, mentoring and talent development programs</t>
  </si>
  <si>
    <t xml:space="preserve">The Company designates employee training and development as a key focus of human resource management.</t>
  </si>
  <si>
    <t xml:space="preserve">Annual report &gt; 04 Operational Highlights &gt; Labor-management relations &gt; Further education and training</t>
  </si>
  <si>
    <t xml:space="preserve">Scholarships for employees pursuing degree programs and language-learning subsidies</t>
  </si>
  <si>
    <t xml:space="preserve">(6) Self-learning: Provide scholarships to support employees in pursuing degree programs, and offer language learning subsidies to encourage the enhancement of language proﬁciency.</t>
  </si>
  <si>
    <t xml:space="preserve">community: community_investment; cross_cultural: internal_practice</t>
  </si>
  <si>
    <t xml:space="preserve">On-site massage service staffed by visually impaired workers from a local blind welfare association</t>
  </si>
  <si>
    <t xml:space="preserve">Employees can enjoy professional massage and stress-relieving services in the Company at a discount price, and meanwhile help the visually impaired workers from "Hsinchu County Blind Welfare Association", achieving two purposes (stress relief and charity) at the same time.</t>
  </si>
  <si>
    <t xml:space="preserve">Annual report &gt; 04 Operational Highlights &gt; Labor-management relations &gt; Employee Benefits</t>
  </si>
  <si>
    <t xml:space="preserve">Multiple-Project Wafer program that shares mask and wafer costs across customers to lower prototype costs</t>
  </si>
  <si>
    <t xml:space="preserve">This approach provides a cost-effective and time-efficient chip verification service, allowing design engineers to validate prototype designs using advanced process technologies prior to volume production.</t>
  </si>
  <si>
    <t xml:space="preserve">Annual report &gt; 04 Operational Highlights &gt; Revenue breakdown by category &gt; MPW (Multiple-Project Wafer)</t>
  </si>
  <si>
    <t xml:space="preserve">Planned reservation of a female board seat and a long-term target of one-third female directors</t>
  </si>
  <si>
    <t xml:space="preserve">In the future, at least one female director seat will be reserved and long-term female seat target is one-third of all board members.</t>
  </si>
  <si>
    <t xml:space="preserve">Annual report &gt; 02 Corporate Governance &gt; Board Diversity Policy and Implementation Status</t>
  </si>
  <si>
    <t xml:space="preserve">One sexual harassment/wrongful harm complaint in 2025 was handled through the company's internal process and closed to the complainant's satisfaction. No court, regulator or outside-body finding is disclosed, so this costs no points.</t>
  </si>
  <si>
    <t xml:space="preserve">Sexual Harassment &amp; Wrongful Harm Complaints 1(note 1) 0 0 0 0</t>
  </si>
  <si>
    <t xml:space="preserve">Annual report &gt; 02 Corporate Governance &gt; Ethical management &gt; Attachment 1</t>
  </si>
  <si>
    <t xml:space="preserve">Partners with schools to deliver sustainability education to students</t>
  </si>
  <si>
    <t xml:space="preserve">We partner with schools to instill ESG sustainability concepts in youths and promote sustainability education to 1,387 students.</t>
  </si>
  <si>
    <t xml:space="preserve">Annual report &gt; Sustainable Development &gt; Human Rights Risk Mitigation &gt; Communities &gt; Social engagement</t>
  </si>
  <si>
    <t xml:space="preserve">Takes part in neighborhood public affairs around its facilities</t>
  </si>
  <si>
    <t xml:space="preserve">We participate in neighborhood (nearby community) public affairs to create a harmonious and mutually beneficial living environment, benefiting 16,433 people.</t>
  </si>
  <si>
    <t xml:space="preserve">Employee volunteering with non-profit organizations on environmental conservation</t>
  </si>
  <si>
    <t xml:space="preserve">We connect with diverse non-profit organizations to raise environmental awareness, maintain biodiversity, and move towards a low-carbon society, with 598 employees participating in 5 environmental conservation events.</t>
  </si>
  <si>
    <t xml:space="preserve">Employee participation in local cultural events</t>
  </si>
  <si>
    <t xml:space="preserve">We integrate local resources to promote local culture, with 454 employees participating in cultural events in 2025.</t>
  </si>
  <si>
    <t xml:space="preserve">On-the-job training, learning subsidies and degree programs for employees</t>
  </si>
  <si>
    <t xml:space="preserve">Average training hours per person reached 65.1 hours.</t>
  </si>
  <si>
    <t xml:space="preserve">Annual report &gt; Sustainable Development &gt; Career development training programs</t>
  </si>
  <si>
    <t xml:space="preserve">Internal DEI Development Working Group that sets diversity and inclusion strategy</t>
  </si>
  <si>
    <t xml:space="preserve">The Company has a DEI Development Working Group that focuse s on promoting diversity, increasing inclusion in the workplace environment, and exerting social influence.</t>
  </si>
  <si>
    <t xml:space="preserve">Annual report &gt; Sustainable Development &gt; Employee welfare &gt; Diversity, Equity and Inclusion</t>
  </si>
  <si>
    <t xml:space="preserve">Discloses gender composition of workforce and management</t>
  </si>
  <si>
    <t xml:space="preserve">Approximately 27.7% of employees were female and 35% of managers were female in 2025.</t>
  </si>
  <si>
    <t xml:space="preserve">Annual report &gt; Sustainable Development &gt; Employee welfare</t>
  </si>
  <si>
    <t xml:space="preserve">Campus seminars held at schools to connect students with industry</t>
  </si>
  <si>
    <t xml:space="preserve">31 campus seminars were held in 2025, with 2,000 participants.</t>
  </si>
  <si>
    <t xml:space="preserve">Annual report &gt; Sustainable development / social outreach &gt; ESG implementation results</t>
  </si>
  <si>
    <t xml:space="preserve">Industry-academia collaboration: equipment donations, scholarships and corporate lecturers for students and teachers</t>
  </si>
  <si>
    <t xml:space="preserve">The Company donates equipment and regularly provides scholarships to improve students’ practical skills.</t>
  </si>
  <si>
    <t xml:space="preserve">Annual report &gt; Sustainable development / social outreach &gt; Industrial and academic collaboration</t>
  </si>
  <si>
    <t xml:space="preserve">Vocational training for unemployed people and youth with the Workforce Development Agency, plus self-run industrial training classes, with job matching</t>
  </si>
  <si>
    <t xml:space="preserve">9 students were employed in vocational training and matchmaking in 2025; 43 students were employed in self-run industrial training classes.</t>
  </si>
  <si>
    <t xml:space="preserve">Largan Education Foundation grants: scholarships, medical and long-term care talent training, charity organizations, support for young carers, material donations</t>
  </si>
  <si>
    <t xml:space="preserve">Financial support for young carers</t>
  </si>
  <si>
    <t xml:space="preserve">Annual report &gt; Sustainable development / social outreach &gt; 2025 donation details</t>
  </si>
  <si>
    <t xml:space="preserve">Donations for disaster relief</t>
  </si>
  <si>
    <t xml:space="preserve">The Company provides donations for disaster relief or necessary resources for major disasters.</t>
  </si>
  <si>
    <t xml:space="preserve">Annual report &gt; Sustainable development / social outreach &gt; Social welfare</t>
  </si>
  <si>
    <t xml:space="preserve">Professional continuing education and training for employees</t>
  </si>
  <si>
    <t xml:space="preserve">The total num ber of participants in employee training was 2,434 (excluding foreign nationals and new hires), with 10,884 hours of training.</t>
  </si>
  <si>
    <t xml:space="preserve">Annual report &gt; Corporate governance / sustainability implementation &gt; Professional Continuing Education</t>
  </si>
  <si>
    <t xml:space="preserve">Advantech Foundation funds arts and culture promotion, sustainable education and public welfare</t>
  </si>
  <si>
    <t xml:space="preserve">An amount of NT$14,958,767 was expensed for arts and culture promotion in 2025; an amount of NT$11,705,796 was expensed for sustainable education, and an amount of NT$16,820,482 was expensed for public welfare.</t>
  </si>
  <si>
    <t xml:space="preserve">Annual report &gt; II. Corporate Governance Report &gt; Sustainable development &gt; Social Aspects &gt; 4. Sustainable innovative education and support to arts</t>
  </si>
  <si>
    <t xml:space="preserve">Global online seminar on women's career development and cross-cultural adaptation</t>
  </si>
  <si>
    <t xml:space="preserve">In 2025, Advantech invited six mid- to senior-level professionals from six key global operating locations, representing diverse nationalities, roles, and backgrounds, to participate in a global online seminar.</t>
  </si>
  <si>
    <t xml:space="preserve">Annual report &gt; II. Corporate Governance Report &gt; Sustainable development &gt; Social Aspects &gt; DEI &amp; Workplace Soft Skills &gt; ii. Gender &amp; Career Development</t>
  </si>
  <si>
    <t xml:space="preserve">Official leave for Indigenous employees to attend cultural events</t>
  </si>
  <si>
    <t xml:space="preserve">Indigenous employees are granted official leave for cultural events (e.g., harvest festivals) in accordance with labor regulations.</t>
  </si>
  <si>
    <t xml:space="preserve">Annual report &gt; II. Corporate Governance Report &gt; Human Rights Risk Mitigation and Remediation &gt; Indigenous Peoples</t>
  </si>
  <si>
    <t xml:space="preserve">Special support projects for foreign colleagues, including cultural fusion</t>
  </si>
  <si>
    <t xml:space="preserve">Special projects are implemented for the selection, training, employment, retention, cultural fusion, health, and safety of foreign colleagues.</t>
  </si>
  <si>
    <t xml:space="preserve">Annual report &gt; II. Corporate Governance Report &gt; Sustainable development &gt; Diversity and equality in the workplace</t>
  </si>
  <si>
    <t xml:space="preserve">Disclosure of female workforce and supervisor shares</t>
  </si>
  <si>
    <t xml:space="preserve">The average proportion of female employees in the Company accounted for 42.3% in 2025, and the average proportion of female supervisors accounted for 22.1%.</t>
  </si>
  <si>
    <t xml:space="preserve">AIoT Inno works developer program for university students worldwide</t>
  </si>
  <si>
    <t xml:space="preserve">An amount more than NT$8.7 million was invested in AIoT Inno works developer program with 1,440 students recruited from 122 universities in 6 countries around the world to participate and 360 projects completed.</t>
  </si>
  <si>
    <t xml:space="preserve">Annual report &gt; II. Corporate Governance Report &gt; Sustainable development &gt; Social Aspects &gt; 3. IoT and industry-Academia Cooperation Education</t>
  </si>
  <si>
    <t xml:space="preserve">AIoT Academy IoT higher-education and certification courses run on university campuses</t>
  </si>
  <si>
    <t xml:space="preserve">A total of more than 3,500 WISE-IoTSuite technical certificates were issued in campus collaboration in 2021~2025.</t>
  </si>
  <si>
    <t xml:space="preserve">Elite 100 Internship Program for students</t>
  </si>
  <si>
    <t xml:space="preserve">An amount around NT$4.08 million was invested in the Elite 100 Internship Program.</t>
  </si>
  <si>
    <t xml:space="preserve">Partnership with Society of Wilderness on wetland conservation with eco-tours and volunteer courses</t>
  </si>
  <si>
    <t xml:space="preserve">Outcomes include: guided eco-tours, biodiversity volunteer courses, removal of invasive species, and hands-on trail maintenance, with a total of 217 participants annually.</t>
  </si>
  <si>
    <t xml:space="preserve">Annual report &gt; II. Corporate Governance Report &gt; Sustainable development &gt; Environmental aspects &gt; Biodiversity activities</t>
  </si>
  <si>
    <t xml:space="preserve">Paid volunteer leave for all employees used for local volunteer service</t>
  </si>
  <si>
    <t xml:space="preserve">Every Advantech employee is entitled to 2-day paid volunteer leave per year.</t>
  </si>
  <si>
    <t xml:space="preserve">Annual report &gt; II. Corporate Governance Report &gt; Sustainable development &gt; Social Aspects &gt; 5. Volunteer Activities</t>
  </si>
  <si>
    <t xml:space="preserve">Global APEX talent development program for high-potential employees</t>
  </si>
  <si>
    <t xml:space="preserve">In 2025, two global APEX programs were held, with a total of 64 high-potential participants from both domestic and international operations.</t>
  </si>
  <si>
    <t xml:space="preserve">Annual report &gt; IV. Operational Highlights &gt; 5. Labor-Employer Relation &gt; Employee Training and Development &gt; Global APEX Program</t>
  </si>
  <si>
    <t xml:space="preserve">Cultural diversity and multinational-team communication training</t>
  </si>
  <si>
    <t xml:space="preserve">To strengthen communication and collaboration in a multicultural workplace, Advantech organized two specialized training sessions in 2025, featuring external speakers who shared practical experiences in managing multinational teams.</t>
  </si>
  <si>
    <t xml:space="preserve">Annual report &gt; II. Corporate Governance Report &gt; Sustainable development &gt; Social Aspects &gt; DEI &amp; Workplace Soft Skills &gt; iii. Cultural Diversity &amp; Communication Training</t>
  </si>
  <si>
    <t xml:space="preserve">Inclusive leadership training for managers</t>
  </si>
  <si>
    <t xml:space="preserve">In 2025, a total of four sessions were conducted, with 136 mid- to senior-level managers participating.</t>
  </si>
  <si>
    <t xml:space="preserve">Annual report &gt; II. Corporate Governance Report &gt; Sustainable development &gt; Social Aspects &gt; DEI &amp; Workplace Soft Skills &gt; i. Cross-Generational &amp; Inclusive Leadership Development</t>
  </si>
  <si>
    <t xml:space="preserve">Foundation-sponsored Nanzhou art installation exhibition and local-culture book publication in a rural community</t>
  </si>
  <si>
    <t xml:space="preserve">Regarding the Humanities pillar, the Nanzhou Happiness King Ship art installation exhibition was held, combining the King Boat Ceremony to unite the community through collective creation.</t>
  </si>
  <si>
    <t xml:space="preserve">Annual report &gt; V. Corporate Sustainability Development &gt; 2.3 Social Giving and Participation &gt; 2.3.2 Nanzhou Sustainable Plan</t>
  </si>
  <si>
    <t xml:space="preserve">Structured employee training programs (orientation, professional, management)</t>
  </si>
  <si>
    <t xml:space="preserve">The Company offers comprehensive career training blueprints to managers and employees at all levels, including those for orientation, professional training, and management training, to assist them in learning and growing through structural programs and caters to diverse learning methods.</t>
  </si>
  <si>
    <t xml:space="preserve">Annual report &gt; III. Corporate Governance &gt; 3.5 Sustainability Development &gt; 4(4) Career development and training</t>
  </si>
  <si>
    <t xml:space="preserve">Employee resource groups (Women in Tek, Global Family for international staff, Intergenerations Connect)</t>
  </si>
  <si>
    <t xml:space="preserve">MediaTek currently has three ERG communities, including Women in Tek (WIT)- A community focused on the growth of our female colleagues, connecting them globally through both in-person and online activities.</t>
  </si>
  <si>
    <t xml:space="preserve">Annual report &gt; III. Corporate Governance &gt; 3.5 Sustainability Development &gt; 4(2) Diversity and equality in the workplace</t>
  </si>
  <si>
    <t xml:space="preserve">Workplace massage service staffed by visually impaired therapists via blind welfare associations</t>
  </si>
  <si>
    <t xml:space="preserve">Furthermore, the Company has set up massage and relaxation rooms, where visually impaired massage therapists recommended by the Blind Welfare Associations of Hsinchu City/County and Taipei City provide professional massage and relaxation services.</t>
  </si>
  <si>
    <t xml:space="preserve">Annual report &gt; V. Corporate Sustainability Development &gt; 1.1 Employee Experience &gt; D. Work Environment Safety and Employee Healthcare</t>
  </si>
  <si>
    <t xml:space="preserve">Genius at Home Impact Accelerator Program with mentoring for social-innovation teams</t>
  </si>
  <si>
    <t xml:space="preserve">Furthermore, winning teams in the Impact Accelerator Track are granted opportunities to collaborate directly with MediaTek, enabling them to scale and replicate their social impact across more regions.</t>
  </si>
  <si>
    <t xml:space="preserve">Annual report &gt; V. Corporate Sustainability Development &gt; 2.2 Social Innovation &gt; 2.2.1 Genius at Home — Digital Social Innovation Competition</t>
  </si>
  <si>
    <t xml:space="preserve">Employee volunteer group runs a student writing competition</t>
  </si>
  <si>
    <t xml:space="preserve">The Reading and Writing Group provided on -site teaching and organized the Starting Point Literature Award World Observer writing competition.</t>
  </si>
  <si>
    <t xml:space="preserve">Annual report &gt; V. Corporate Sustainability Development &gt; 2.3 Social Giving and Participation &gt; 2.3.3 Volunteering</t>
  </si>
  <si>
    <t xml:space="preserve">Nanzhou Sustainable Plan: sponsored education and culture program in a rural area of Pingtung</t>
  </si>
  <si>
    <t xml:space="preserve">In 2025, a total sponsorship of NT$3 million was provided, with at least 38,461 teachers, students, and local residents participating in the plan.</t>
  </si>
  <si>
    <t xml:space="preserve">STEM Program helping schools set up technology courses and clubs</t>
  </si>
  <si>
    <t xml:space="preserve">A total of 104 regular classes and 13 club classes were launched, covering 955 junior high school students and 1,718 elementary school students.</t>
  </si>
  <si>
    <t xml:space="preserve">Annual report &gt; V. Corporate Sustainability Development &gt; 2. Social Engagement &gt; 2.1.2 STEM Program</t>
  </si>
  <si>
    <t xml:space="preserve">1+1 Science Connection program linking schools in remote areas to build science teaching capacity</t>
  </si>
  <si>
    <t xml:space="preserve">In the second cohort, 15 Science Connection programs (31 schools in total) were accepted.</t>
  </si>
  <si>
    <t xml:space="preserve">Annual report &gt; V. Corporate Sustainability Development &gt; 2.1 STEM Education and Talent Cultivation &gt; 2.1.1 1+1 Science Connection Program</t>
  </si>
  <si>
    <t xml:space="preserve">Funding for universities and co-established semiconductor colleges through industry-academia collaboration</t>
  </si>
  <si>
    <t xml:space="preserve">In 2025, MediaTek’s total investment in domestic and international universities exceeded NT$100 million, cultivating outstanding talent through industry-academia collaboration.</t>
  </si>
  <si>
    <t xml:space="preserve">Annual report &gt; V. Corporate Sustainability Development &gt; 2.1 STEM Education and Talent Cultivation &gt; 2.1.6 Partnership with Academia and Research Publications</t>
  </si>
  <si>
    <t xml:space="preserve">Girls! TECH Action program encouraging girls and young women into technology careers</t>
  </si>
  <si>
    <t xml:space="preserve">A total of 30 groups of female students advancing from the third year of junior high to the second year of senior high, together with their parents, were selected to visit National Taiwan University and MediaTek’s headquarters.</t>
  </si>
  <si>
    <t xml:space="preserve">Annual report &gt; V. Corporate Sustainability Development &gt; 2.1 STEM Education and Talent Cultivation &gt; 2.1.3 Women in Technology Program</t>
  </si>
  <si>
    <t xml:space="preserve">Employee Volunteer Club teaching and supporting local elementary schools</t>
  </si>
  <si>
    <t xml:space="preserve">Throughout the year, 86 volunteers contributed a total of 1,155 hours of service, supporting 12 elementary schools in the Hsinchu area and benefiting 1,811 students.</t>
  </si>
  <si>
    <t xml:space="preserve">Donation of refurbished laptops and GPU servers to schools</t>
  </si>
  <si>
    <t xml:space="preserve">Continuing its initiative from 2024, the MediaTek Foundation expanded its 2025 ESG efforts by donating 159 refurbished technical devices, including laptops and GPU servers, to 28 schools.</t>
  </si>
  <si>
    <t xml:space="preserve">Annual report &gt; V. Corporate Sustainability Development &gt; 2.1 STEM Education and Talent Cultivation &gt; 2.1.5 Refurbished ICT Equipment Donation Program</t>
  </si>
  <si>
    <t xml:space="preserve">Develops and sells Echo InnoGallery, a digital art display that generates and shows dynamic artworks</t>
  </si>
  <si>
    <t xml:space="preserve">Echo InnoGallery is a digital art display that integrates AI-powered voice interaction with art aesthetics.</t>
  </si>
  <si>
    <t xml:space="preserve">Annual report &gt; I. Letter to Shareholders &gt; 1.1.4 Status of Research and Development &gt; 12. Maturation of InnoGallery core technologies and product commercialization</t>
  </si>
  <si>
    <t xml:space="preserve">Proposed migrant workers' autonomous associations open to local employees</t>
  </si>
  <si>
    <t xml:space="preserve">Currently, four new associations have been proposed to promote in-depth exchanges between international and local employees.</t>
  </si>
  <si>
    <t xml:space="preserve">Annual report &gt; II. Corporate Governance Report &gt; Sustainable development implementation &gt; Diversity and equality in the workplace &gt; B. Migrant workers’ autonomous associations</t>
  </si>
  <si>
    <t xml:space="preserve">Disclosure of female representation in workforce and management</t>
  </si>
  <si>
    <t xml:space="preserve">Among the regular employees, the proportion of female employees of the Company and its subsidiaries is 36.94%; the number of female employees in management positions reaches 19.08%; the proportion of female senior managers is 12.50%, marking an upward trend compared with 2024.</t>
  </si>
  <si>
    <t xml:space="preserve">Annual report &gt; II. Corporate Governance Report &gt; Sustainable development implementation &gt; Diversity and equality in the workplace</t>
  </si>
  <si>
    <t xml:space="preserve">Education Foundation supports a documentary film and screens it in rural schools with youth running classes</t>
  </si>
  <si>
    <t xml:space="preserve">Innolux Education Foundation supports the documentary film “Braving the Peak” to promote the beauty of Taiwan’s mountains and forests and the spirit of challenging oneself, documenting the journey of off-road runners completing the 332km long trek in the Central Mountain Range.</t>
  </si>
  <si>
    <t xml:space="preserve">Annual report &gt; II. Corporate Governance Report &gt; Sustainable development implementation &gt; (2) Environmental education &gt; Braving the Peak</t>
  </si>
  <si>
    <t xml:space="preserve">Net Zero Education Walk Start Plan: environmental education courses and camps for students, with employee volunteering</t>
  </si>
  <si>
    <t xml:space="preserve">To continue the net-zero environmental education, the Company held 32 net-zero promotion courses and 1 online camps in 2025, be nefiting a total of 3,646 students, and participating in 126 volunteer services for 317 hours accumulatively.</t>
  </si>
  <si>
    <t xml:space="preserve">Annual report &gt; II. Corporate Governance Report &gt; Sustainable development implementation &gt; (2) Environmental education &gt; Net Zero Education Walk Start Plan</t>
  </si>
  <si>
    <t xml:space="preserve">Christmas Warmth x Gift Collection charity program for disadvantaged children with child and family welfare funds</t>
  </si>
  <si>
    <t xml:space="preserve">Innolux Education Foundation continues to launch the “Infinite Love for Charity” event, has launched the “Christmas Warmth x Gift Collection” activity for 9 consecutive years, and has joined hands with Miaoli and Tainan Fund for Children and Families to realize the Christmas wishes for 10,721 disadvantaged children.</t>
  </si>
  <si>
    <t xml:space="preserve">Annual report &gt; II. Corporate Governance Report &gt; Sustainable development implementation &gt; (1) Charity care &gt; Christmas Warmth x Gift Collection</t>
  </si>
  <si>
    <t xml:space="preserve">Employee volunteers knit woolen items for elderly people with a social welfare foundation and local community</t>
  </si>
  <si>
    <t xml:space="preserve">In 2025, 88 colleagues were invited to participate and weave 231 woolen fabrics, which were donated by volunteers to elderly, creating a good cycle of mutual benefit.</t>
  </si>
  <si>
    <t xml:space="preserve">Annual report &gt; II. Corporate Governance Report &gt; Sustainable development implementation &gt; (1) Charity care</t>
  </si>
  <si>
    <t xml:space="preserve">Industry-academia cooperation and government Youth Project training young students for employment</t>
  </si>
  <si>
    <t xml:space="preserve">We have also invested in industry-academia cooperation and the government -promoted Youth Project to create practical talents for the industry, reduce the gap between learning and application, and cultivate fresh forces with integration of learning and application, and assist young students in employment and practical application.</t>
  </si>
  <si>
    <t xml:space="preserve">Annual report &gt; IV. Operational Highlights &gt; 4.5 Labor Relations &gt; Employee development</t>
  </si>
  <si>
    <t xml:space="preserve">Annual material donations to a rural junior high school serving indigenous students</t>
  </si>
  <si>
    <t xml:space="preserve">In order to  spread positive energy to the teachers and students in rural schools, we donate materials to Ren Ai Junior High School of Nantou County every year to help the indigenous students in rural areas with insufficient resources, so as to achieve the goal of promoting sustainable joint development.</t>
  </si>
  <si>
    <t xml:space="preserve">Innolux University internal training academy for employees</t>
  </si>
  <si>
    <t xml:space="preserve">It has five colleges and one center, with a total of 24 courses, promoting personal career and company growth, achieving mutual prosperity and win-win.</t>
  </si>
  <si>
    <t xml:space="preserve">Annual report &gt; II. Corporate Governance Report &gt; Sustainable development implementation &gt; Social issues (4)</t>
  </si>
  <si>
    <t xml:space="preserve">Cultural exchange events bringing migrant workers and local employees together</t>
  </si>
  <si>
    <t xml:space="preserve">In addition, the International Friendship Week promoted cultural interaction and inclusion through activities such as a Chinese storytelling contest and Filipino food experience.</t>
  </si>
  <si>
    <t xml:space="preserve">Annual report &gt; II. Corporate Governance Report &gt; Sustainable development implementation &gt; Diversity and equality in the workplace &gt; A. Cultural integration and exchange</t>
  </si>
  <si>
    <t xml:space="preserve">Heartfelt 99 student short-film contest co-organized with Taiwan PTS, with campus lecture tours and volunteer video workshops</t>
  </si>
  <si>
    <t xml:space="preserve">The Foundation also promotes image education through short film competitions, ASUS volunteer video workshops, and campus lecture tours.</t>
  </si>
  <si>
    <t xml:space="preserve">Annual report &gt; Corporate Social Responsibility &gt; Social engagement &gt; (5) Heartfelt 99 project under Taiwan PTS</t>
  </si>
  <si>
    <t xml:space="preserve">Hiring employees with mental disabilities and hosting the Children Are Us Bakery in the staff canteen</t>
  </si>
  <si>
    <t xml:space="preserve">ASUS has recruited 9 full-time employees with menta l disabilities since 2008.</t>
  </si>
  <si>
    <t xml:space="preserve">Annual report &gt; Corporate Social Responsibility &gt; Social engagement &gt; (6) The Growth and Training Program of Children Are Us</t>
  </si>
  <si>
    <t xml:space="preserve">Charitable donations to social welfare organizations and disaster relief for Hualien</t>
  </si>
  <si>
    <t xml:space="preserve">Furthermore, in 2025, ASUS provided over NT$3 million in emergency aid for the Mataian area in Hualien, Taiwan.</t>
  </si>
  <si>
    <t xml:space="preserve">Annual report &gt; Corporate Social Responsibility &gt; Social engagement &gt; (8) Money collection, fund raising, and donation of materials</t>
  </si>
  <si>
    <t xml:space="preserve">Group-wide employee training and talent development</t>
  </si>
  <si>
    <t xml:space="preserve">Total training hours across the group reached 387,112 hours, averaging 22.9 hours per employee.</t>
  </si>
  <si>
    <t xml:space="preserve">Annual report &gt; Overview of Business Operation &gt; Employee/employer relations &gt; Employee Development and Training</t>
  </si>
  <si>
    <t xml:space="preserve">Sponsorship of domestic arts and culture, including instructor and training fees for youth orchestra, choir, drum and lion dance teams</t>
  </si>
  <si>
    <t xml:space="preserve">In 2025, ASUS supported the development of domestic culture by committing a total of NT$7.4 million in sponsorship.</t>
  </si>
  <si>
    <t xml:space="preserve">Annual report &gt; Corporate Social Responsibility &gt; Social engagement &gt; (7) Support the development of domestic arts and culture</t>
  </si>
  <si>
    <t xml:space="preserve">Sponsoring instructor fees for an art collective of autistic youth and exhibiting their work at the ASUS Art Gallery</t>
  </si>
  <si>
    <t xml:space="preserve">In terms of cultural equity, ASUS supports autistic youth in their pursuit of artistic and musical creation.</t>
  </si>
  <si>
    <t xml:space="preserve">Providing ASUS phones free of charge to Taiwanese drama filming teams</t>
  </si>
  <si>
    <t xml:space="preserve">In 2025, a total of 2 drama programs were supported: The Wedding I Owed You and Supernatural Pampers, contributing to Taiwan's film and television industry.</t>
  </si>
  <si>
    <t xml:space="preserve">Creator laptops as one of several laptop product lines</t>
  </si>
  <si>
    <t xml:space="preserve">ASUS continues to invest R&amp;D resources in new types of computer products, such as AI PCs, gaming laptops, creator laptops, commercial laptops, and Chrome OS new -category computing devices.</t>
  </si>
  <si>
    <t xml:space="preserve">Annual report &gt; Overview of Business Operation &gt; Research and Development</t>
  </si>
  <si>
    <t xml:space="preserve">ASUS Foundation refurbished-computer donation and digital training for NPOs serving underprivileged children, seniors, people with disabilities and new immigrants</t>
  </si>
  <si>
    <t xml:space="preserve">Through the donation of refurbished computers and the provision of software courses and teaching materials, the total number of direct and indirect beneficiaries exceeded 200,000 person-times in 2025.</t>
  </si>
  <si>
    <t xml:space="preserve">Annual report &gt; Corporate Social Responsibility &gt; Social engagement &gt; (1) Refurbished Computer and Digital Training Program</t>
  </si>
  <si>
    <t xml:space="preserve">Digital learning centers established with NPOs in developing countries (Taiwan Digital Opportunity Center / Digital Cultivation Program)</t>
  </si>
  <si>
    <t xml:space="preserve">Over the past 16 years, ASUS has assisted 50 countries in establishing digital learning centers, donating more than 30,000 information devices, including new ASUS computers, refurbished computers, and tablets.</t>
  </si>
  <si>
    <t xml:space="preserve">Annual report &gt; Corporate Social Responsibility &gt; Social engagement &gt; (2) Digital Opportunity Center</t>
  </si>
  <si>
    <t xml:space="preserve">International volunteer program with university teams building digital learning environments in remote areas</t>
  </si>
  <si>
    <t xml:space="preserve">To date, the program has served over 30,000 teachers and students in remote areas, helping to build digital learning environments and promote educational equity.</t>
  </si>
  <si>
    <t xml:space="preserve">Annual report &gt; Corporate Social Responsibility &gt; Social engagement &gt; (4) ASUS international volunteer worker project</t>
  </si>
  <si>
    <t xml:space="preserve">Indigenous Tribes, Digital Care computer donations to tribal schools, culture and health stations</t>
  </si>
  <si>
    <t xml:space="preserve">Since 2019, ASUS has promoted the "Indigenous Tribes, Digital Care" refurbished computer donation project, with a cumulative total of over 1,000 refurbished computers donated to date.</t>
  </si>
  <si>
    <t xml:space="preserve">The company's own due diligence identified and remediated human rights risk incidents, with none rated high risk. No court, regulator or outside-body finding is disclosed. Listed for the team's notes only; no points deducted.</t>
  </si>
  <si>
    <t xml:space="preserve">In 2025, all identified human rights risk incidents across the Company's operations and supply chain were fully investigated and remediated, with ongoing tracking of improvement progress.</t>
  </si>
  <si>
    <t xml:space="preserve">Annual report &gt; Corporate Governance &gt; Social issues &gt; Human Rights Due Diligence</t>
  </si>
  <si>
    <t xml:space="preserve">Corporate funding of local culture and performing arts, such as documentary production and hospital performances</t>
  </si>
  <si>
    <t xml:space="preserve">In 2025, we invested a total of NT$3.05 million to actively support local culture and performing arts</t>
  </si>
  <si>
    <t xml:space="preserve">Annual report &gt; II. Corporate Governance &gt; Corporate governance evaluation: improvement items (item 9)</t>
  </si>
  <si>
    <t xml:space="preserve">Recurring gender-equality training for new hires and all employees</t>
  </si>
  <si>
    <t xml:space="preserve">New personnels and all employees are scheduled annually and are regularly provided with promotional training courses related to gender-equality-friendly practices.</t>
  </si>
  <si>
    <t xml:space="preserve">Annual report &gt; II. Corporate Governance &gt; Human rights management &gt; Discrimination and harassment</t>
  </si>
  <si>
    <t xml:space="preserve">Novatek Educational Foundation scholarships for science education and talent development</t>
  </si>
  <si>
    <t xml:space="preserve">Promoted the cultivation of scientific education and talent development by offering scholarships totaling NT$5.31 million throughout the year.</t>
  </si>
  <si>
    <t xml:space="preserve">Annual report &gt; II. Corporate Governance &gt; Sustainable development implementation &gt; Social Participation</t>
  </si>
  <si>
    <t xml:space="preserve">Funded reading programs for rural elementary school students in Yunlin and Hualien</t>
  </si>
  <si>
    <t xml:space="preserve">Promoted reading programs for students at elementary schools in rural areas of Yunlin and Hualien, with a total amount NT$2.56 million.</t>
  </si>
  <si>
    <t xml:space="preserve">Paid corporate volunteer leave program with organized volunteer service sessions</t>
  </si>
  <si>
    <t xml:space="preserve">Continued implementation of paid corporate volunteer leave and organized 22 sessions of corporate volunteer service throughout the year, contributing a total of 4,536 volunteer service hours.</t>
  </si>
  <si>
    <t xml:space="preserve">Employee-funded Novatek Social Caring Fund for charitable causes</t>
  </si>
  <si>
    <t xml:space="preserve">Raised over NT$13.17 million for the “Novatek Social Caring Fund,” with a donation participation rate of 44.2%.</t>
  </si>
  <si>
    <t xml:space="preserve">Industry mentor courses delivered with schools on semiconductor talent</t>
  </si>
  <si>
    <t xml:space="preserve">Collaborated with 3 schools to promote industry mentor courses with 6 sessions on semiconductor talent cultivation and exchange.</t>
  </si>
  <si>
    <t xml:space="preserve">Annual report &gt; II. Corporate Governance &gt; Sustainable development implementation &gt; Friendly Workplace</t>
  </si>
  <si>
    <t xml:space="preserve">Company-wide professional development training for employees</t>
  </si>
  <si>
    <t xml:space="preserve">In 2025, a total of 92 professional development courses were delivered worldwide (including 50 online courses).</t>
  </si>
  <si>
    <t xml:space="preserve">Annual report &gt; II. Corporate Governance &gt; Sustainable development implementation &gt; Talent training and development</t>
  </si>
  <si>
    <t xml:space="preserve">Foundation program supporting science education for girls at Hsinchu Girls' High School</t>
  </si>
  <si>
    <t xml:space="preserve">Since 2024, the Foundation has been promoting the development of science education at Hsinchu Girls’ High School to foster female talent in science and technology on an ongoing basis.</t>
  </si>
  <si>
    <t xml:space="preserve">Annual report &gt; II. Corporate Governance &gt; Sustainable development implementation &gt; (7) Novatek Educational Foundation</t>
  </si>
  <si>
    <t xml:space="preserve">Employee volunteers give one-on-one companionship and activities to visually impaired students</t>
  </si>
  <si>
    <t xml:space="preserve">Novatek volunteers provide one-on-one companionship to visually impaired students at Taichung School for the Visually Impaired, Taichung Huei-Ming School for Blind Children, and in the Changhua area, conducting local cultural exploration and food education activities.</t>
  </si>
  <si>
    <t xml:space="preserve">Dedicated digital content subsidiary (Nuon) running games, music and digital lifestyle businesses</t>
  </si>
  <si>
    <t xml:space="preserve">The digital content portfolio is managed through PT Nuon Digital Indonesia (“Nuon”), which operates across three segments: Digital Games, Digital Music, and Digital Lifestyle.</t>
  </si>
  <si>
    <t xml:space="preserve">Item 4.B &gt; Business Portfolios &gt; 5. Other (Non-Core) Business &gt; 5.1 Digital Services</t>
  </si>
  <si>
    <t xml:space="preserve">LinkAja e-money app targeting the unbanked population</t>
  </si>
  <si>
    <t xml:space="preserve">For the B2C LinkAja application segment, LinkAja continues to target the unbanked population with technology literacy in the productive-age segment nationwide, while also emphasizing its role in supporting the broader BUMN ecosystem, including employees.</t>
  </si>
  <si>
    <t xml:space="preserve">Item 4.B &gt; Licensing &gt; Payment Method Using E-Money</t>
  </si>
  <si>
    <t xml:space="preserve">MSME entrepreneurship training, digital onboarding and market access facilitation</t>
  </si>
  <si>
    <t xml:space="preserve">To support inclusive economic growth, we strengthened MSME digital capacity through structured entrepreneurship training, digital onboarding, and market access facilitation aligned with the MSME growth journey—from initial capability development to scaling and international market exposure.</t>
  </si>
  <si>
    <t xml:space="preserve">Item 4.B &gt; Corporate and Social Responsibility and Human Capital Management</t>
  </si>
  <si>
    <t xml:space="preserve">MDI Ventures corporate venture capital investing in early- to growth-stage startups</t>
  </si>
  <si>
    <t xml:space="preserve">MDI Ventures operates a multi-fund investment platform focused on technology-driven startups from early to growth stages, both in Indonesia and internationally, with the objective of delivering financial returns and strategic value for us.</t>
  </si>
  <si>
    <t xml:space="preserve">MAXstream video platform co-produces content with studios</t>
  </si>
  <si>
    <t xml:space="preserve">We offer on-demand video content through the MAXstream application, a platform that collaborates with partners to co-produce content with studios.</t>
  </si>
  <si>
    <t xml:space="preserve">Item 4.B &gt; Business Portfolios &gt; 1. Integrated B2C Services &gt; 1.1 Mobile Services</t>
  </si>
  <si>
    <t xml:space="preserve">Langit Musik streaming platform distributing licensed local and international music</t>
  </si>
  <si>
    <t xml:space="preserve">In the music segment, Langit Musik is a digital streaming platform featuring licensed local and international content that has expanded through bundled subscription offerings and integration as a mini app across various platforms.</t>
  </si>
  <si>
    <t xml:space="preserve">Dunia Games gaming ecosystem including local game publishing</t>
  </si>
  <si>
    <t xml:space="preserve">In the gaming segment, Upoint is a digital platform for game vouchers and in-game transactions, and Dunia Games combines game content, community engagement, and distribution services, further supported by local game publishing, e-sports activities, and partnerships for global gaming access.</t>
  </si>
  <si>
    <t xml:space="preserve">Social and Environmental Responsibility (TJSL) programs: digital education, digital literacy, stunting prevention, assisted villages and community programs</t>
  </si>
  <si>
    <t xml:space="preserve">During 2025, we allocated approximately Rp169.3 billion to TJSL initiatives across Indonesia.</t>
  </si>
  <si>
    <t xml:space="preserve">Digital literacy programs targeting women and persons with disabilities</t>
  </si>
  <si>
    <t xml:space="preserve">Under the social pillar, we expanded inclusive digital education through our Digital Learning School, teacher certification programs, vocational digital skills development, and digital literacy programs targeting women and persons with disabilities.</t>
  </si>
  <si>
    <t xml:space="preserve">People development programs for all employees (training, certification, scholarships)</t>
  </si>
  <si>
    <t xml:space="preserve">As of December 31, 2025, expenses incurred in connection with our people development programs for all employees (including training, certification, and scholarship) amounted to approximately Rp95.7 billion.</t>
  </si>
  <si>
    <t xml:space="preserve">Item 6.D &gt; Employees &gt; Talent Development</t>
  </si>
  <si>
    <t xml:space="preserve">AI Campus pillar collaborating with universities on talent and applied research</t>
  </si>
  <si>
    <t xml:space="preserve">AI Campus focuses on collaboration with universities for talent and applied research development.</t>
  </si>
  <si>
    <t xml:space="preserve">Item 4.B &gt; Business Portfolios &gt; 5.1 Digital Services &gt; AI Centre of Excellence</t>
  </si>
  <si>
    <t xml:space="preserve">DayCare facilities and Srikandi Telkom gender-inclusion program</t>
  </si>
  <si>
    <t xml:space="preserve">In 2025, women represented 23.2% of managerial positions in our Group, supported by our DayCare facilities and the Srikandi Telkom program to promote gender inclusion.</t>
  </si>
  <si>
    <t xml:space="preserve">Item 4.B &gt; ESG Matters &gt; Social Responsibility &gt; Workplace Environment and Employee Support</t>
  </si>
  <si>
    <t xml:space="preserve">Training and competency development programs for the company's own employees</t>
  </si>
  <si>
    <t xml:space="preserve">Sepanjang tahun 2025, Perseroan telah memfasilitasi karyawan dengan berbagai pelatihan sebagai berikut:</t>
  </si>
  <si>
    <t xml:space="preserve">Throughout 2025, the Company facilitated employees with various training programs as follows:</t>
  </si>
  <si>
    <t xml:space="preserve">Annual report &gt; Sustainability Report &gt; Social Performance &gt; Competency Development [IDX S.05]</t>
  </si>
  <si>
    <t xml:space="preserve">ROTI (associate) donations to disaster-affected communities</t>
  </si>
  <si>
    <t xml:space="preserve">Bantuan kepada masyarakat yang tertimpa bencana serta masyarakat yang menjadi korban banjir bandang dan tanah longsor.</t>
  </si>
  <si>
    <t xml:space="preserve">Donations to support communities affected by disasters, as well as those affected by flash floods and landslides.</t>
  </si>
  <si>
    <t xml:space="preserve">Annual report &gt; Sustainability Report &gt; CSR Activities in 2025 &gt; ROTI &gt; Natural Disaster</t>
  </si>
  <si>
    <t xml:space="preserve">FAST/KFC (associate) one-day community food-sharing event in Bandung</t>
  </si>
  <si>
    <t xml:space="preserve">Pada 16 Maret 2025, FAST menyelenggarakan kegiatan sosial bertajuk “Berbagi Berkah Bersama KFC” sebagai bentuk kepedulian kepada masyarakat sekitar.</t>
  </si>
  <si>
    <t xml:space="preserve">On March 16, 2025, FAST organized a community outreach event titled “Sharing Blessings with KFC” as a gesture of care for the local community.</t>
  </si>
  <si>
    <t xml:space="preserve">Annual report &gt; Sustainability Report &gt; CSR Activities in 2025 &gt; FAST &gt; Social</t>
  </si>
  <si>
    <t xml:space="preserve">Indomaret (associate) gives local MSMEs access to sell their products in its outlets</t>
  </si>
  <si>
    <t xml:space="preserve">Entitas asosiasi Perseroan, Indomaret, terus berupaya menyediakan lapangan kerja bagi warga sekitar dan akses bagi UMKM lokal untuk memasarkan produk-produknya di sebagian besar gerainya.</t>
  </si>
  <si>
    <t xml:space="preserve">The Company’s associate entity, Indomaret, continues to create employment opportunities for local communities and provide access for local MSMEs to market their products in many of its outlets.</t>
  </si>
  <si>
    <t xml:space="preserve">Annual report &gt; Sustainability Report &gt; Social Performance &gt; Community [POJK A.6c3]</t>
  </si>
  <si>
    <t xml:space="preserve">Indomaret MoU with GP Ansor to support youth economic independence and empowerment</t>
  </si>
  <si>
    <t xml:space="preserve">Indomaret melakukan penandatanganan Nota Kesepahaman dengan Gerakan Pemuda (GP) Ansor yang bertujuan untuk mendukung kemandirian dan pemberdayaan ekonomi pemuda.</t>
  </si>
  <si>
    <t xml:space="preserve">Indomaret signed a Memorandum of Understanding with the Ansor Youth Movement (GP Ansor), which aims to support youth independence and economic empowerment.</t>
  </si>
  <si>
    <t xml:space="preserve">Annual report &gt; Performance Highlights &gt; 2025 Event Highlights &gt; Indomaret</t>
  </si>
  <si>
    <t xml:space="preserve">Indomaret (associate) scholarships for children of the East Kalimantan Dayak Fellowship in Samarinda</t>
  </si>
  <si>
    <t xml:space="preserve">Pemberian beasiswa kepada putra-putri Persekutuan Dayak Kalimantan Timur (PDKT) di Lamin Bakuda Kota Samarinda.</t>
  </si>
  <si>
    <t xml:space="preserve">Provision of scholarships for students of the East Kalimantan Dayak Fellowship (PDKT) at Lamin Bakuda, Samarinda City.</t>
  </si>
  <si>
    <t xml:space="preserve">Annual report &gt; Sustainability Report &gt; CSR Activities in 2025 &gt; Indomaret &gt; Education</t>
  </si>
  <si>
    <t xml:space="preserve">Indomaret (associate) Posyandu toddler health services and free health check-ups for the elderly</t>
  </si>
  <si>
    <t xml:space="preserve">Mengadakan Posyandu Balita &amp; Cek Kesehatan yang mencakup acara senam sehat, penyuluhan kesehatan, pengecekan perkembangan balita, imunisasi, dan pengecekan kesehatan gratis bagi lansia.</t>
  </si>
  <si>
    <t xml:space="preserve">Organizing Integrated Health Service Post (Posyandu) activities for toddlers and health check-ups, including healthy exercise sessions, health education, toddler development monitoring, immunization, and free health check-ups for the elderly.</t>
  </si>
  <si>
    <t xml:space="preserve">Annual report &gt; Sustainability Report &gt; CSR Activities in 2025 &gt; Indomaret &gt; Health Programs</t>
  </si>
  <si>
    <t xml:space="preserve">Indomaret (associate) mosquito-breeding eradication and dengue prevention education with local health offices</t>
  </si>
  <si>
    <t xml:space="preserve">Menyelenggarakan Pemberantasan Sarang Nyamuk (PSN) bersama Jumantik (Juru Pemantau Jentik) dan Dinas Kesehatan di kota masing-masing untuk memberikan penyuluhan terkait pencegahan demam berdarah.</t>
  </si>
  <si>
    <t xml:space="preserve">Organizing Mosquito Breeding Eradication (PSN) activities together with Jumantik (Larvae Monitoring Officers) and local Health Offices to provide education on dengue fever prevention.</t>
  </si>
  <si>
    <t xml:space="preserve">FiberStar (subsidiary) disaster recovery support in Sukabumi: emergency telecom infrastructure and donations</t>
  </si>
  <si>
    <t xml:space="preserve">Akibat bencana banjir dan tanah longsor yang mengakibatkan kerusakan di beberapa kecamatan di Kabupaten Sukabumi, FiberStar berinisiatif membantu pemulihan bencana dengan menyediakan infrastruktur layanan internet dan telekomunikasi untuk memastikan komunikasi tetap berjalan, serta memberikan donasi untuk mendukung pemulihan yang lebih tangguh dan berkelanjutan setelah bencana.</t>
  </si>
  <si>
    <t xml:space="preserve">Following floods and landslides that caused damage in several districts in Sukabumi Regency, FiberStar took the initiative to support disaster recovery by providing internet and telecommunications service infrastructure to ensure communication continuity, as well as donating to support a stronger and more sustainable post-disaster recovery.</t>
  </si>
  <si>
    <t xml:space="preserve">Annual report &gt; Sustainability Report &gt; CSR Activities in 2025 &gt; FiberStar</t>
  </si>
  <si>
    <t xml:space="preserve">FiberStar (subsidiary) humanitarian aid and Starlink emergency internet for Sumatra flood victims</t>
  </si>
  <si>
    <t xml:space="preserve">Akibat adanya bencana banjir bandang dan tanah longsor besar yang melanda Sumatera, FiberStar berinisiatif membantu dengan menyalurkan bantuan logistik bagi masyarakat terdampak serta menyediakan akses internet darurat Starlink untuk memastikan komunikasi dan koordinasi tim di lapangan tetap berjalan lancar.</t>
  </si>
  <si>
    <t xml:space="preserve">Following severe flash floods and landslides that struck Sumatra, FiberStar provided logistical assistance to affected communities and deployed Starlink emergency internet access to ensure communication and coordination among field teams remained operational.</t>
  </si>
  <si>
    <t xml:space="preserve">Indomaret (associate) donation of an ambulance to North Lampung Regency</t>
  </si>
  <si>
    <t xml:space="preserve">Pemberian bantuan mobil ambulans untuk pelayanan kesehatan masyarakat Kabupaten Lampung Utara.</t>
  </si>
  <si>
    <t xml:space="preserve">Provision of an ambulance to support public healthcare services in North Lampung Regency.</t>
  </si>
  <si>
    <t xml:space="preserve">Indomaret (associate) donation of agricultural equipment to Muna Regency</t>
  </si>
  <si>
    <t xml:space="preserve">Pemberian bantuan alat pertanian untuk Kabupaten Muna.</t>
  </si>
  <si>
    <t xml:space="preserve">Provision of agricultural equipment assistance for Muna Regency.</t>
  </si>
  <si>
    <t xml:space="preserve">Annual report &gt; Sustainability Report &gt; CSR Activities in 2025 &gt; Indomaret &gt; Economic</t>
  </si>
  <si>
    <t xml:space="preserve">Indomaret (associate) clean water facility in Bolok Village, East Nusa Tenggara</t>
  </si>
  <si>
    <t xml:space="preserve">Pemberian bantuan sumber air bersih di Desa Bolok, Kupang Barat, Nusa Tenggara Timur.</t>
  </si>
  <si>
    <t xml:space="preserve">Provision of clean water facilities in Bolok Village, West Kupang, East Nusa Tenggara.</t>
  </si>
  <si>
    <t xml:space="preserve">Annual report &gt; Sustainability Report &gt; CSR Activities in 2025 &gt; Indomaret &gt; Environment</t>
  </si>
  <si>
    <t xml:space="preserve">Operates leading free-to-air TV networks (SCTV, Indosiar, MOJI, Mentari TV) that produce and broadcast entertainment programming</t>
  </si>
  <si>
    <t xml:space="preserve">Meski Indonesia telah beralih penuh ke siaran digital (ASO), EMTEK tetap mempertahankan kepemimpinannya dengan pangsa pemirsa 38,1% pada akhir 2025.</t>
  </si>
  <si>
    <t xml:space="preserve">Although Indonesia has fully switched to digital broadcasting (ASO), EMTEK maintained its leadership with a 38.1% audience share at the end of 2025.</t>
  </si>
  <si>
    <t xml:space="preserve">Annual report &gt; Company Profile &gt; Company at a Glance</t>
  </si>
  <si>
    <t xml:space="preserve">Bincang Kartini talk session featuring women leaders to encourage women's leadership</t>
  </si>
  <si>
    <t xml:space="preserve">Dalam rangka Hari Kartini dan perayaan 27 tahun IMDE, EMTEK mengadakan Bincang Kartini yang menghadirkan empat pemimpin perempuan EMTEK.</t>
  </si>
  <si>
    <t xml:space="preserve">To commemorate Kartini Day and IMDE's 27th anniversary, EMTEK held Bincang Kartini featuring four women leaders from EMTEK.</t>
  </si>
  <si>
    <t xml:space="preserve">Annual report &gt; Performance Highlights &gt; 2025 Event Highlights</t>
  </si>
  <si>
    <t xml:space="preserve">Bukalapak (consolidated subsidiary) online marketplace enabling businesses to sell in the digital economy</t>
  </si>
  <si>
    <t xml:space="preserve">Through its technology-driven ecosystem, BUKA enables business participation in the digital economy by providing marketplace capabilities, digital services, and technology solutions.</t>
  </si>
  <si>
    <t xml:space="preserve">Annual report &gt; Management Discussion and Analysis &gt; Digital Products and Services</t>
  </si>
  <si>
    <t xml:space="preserve">Superbank digital banking solutions for small and medium enterprises and retail customers</t>
  </si>
  <si>
    <t xml:space="preserve">Pada tahun 2023, Bank FAMA secara resmi berganti nama menjadi PT Super Bank Indonesia (Superbank), yang menandai langkah strategis untuk memperluas layanan keuangan melalui solusi digital yang disesuaikan untuk memenuhi kebutuhan usaha kecil dan menengah serta pelanggan ritel.</t>
  </si>
  <si>
    <t xml:space="preserve">In 2023, Bank FAMA officially rebranded as PT Super Bank Indonesia (Superbank), marking a strategic move to expand financial services through digital solutions tailored to the needs of small and medium enterprises and retail customers.</t>
  </si>
  <si>
    <t xml:space="preserve">2021 charity concert raising funds for a COVID-19 floating isolation ship</t>
  </si>
  <si>
    <t xml:space="preserve">Penyelenggaraan “Konser Amal Indonesia Tangguh” yang berhasil menghimpun total dana senilai Rp15.838.513.884 dari donasi pemirsa, donatur hasil penjualan barang memorabilia milik atlet kebanggaan Indonesia, dan sponsorship.</t>
  </si>
  <si>
    <t xml:space="preserve">The 'Tangguh Indonesia Charity Concert' raised a total of Rp15,838,513,884 from viewer donations, donors from the sale of athletes' memorabilia, and sponsorships.</t>
  </si>
  <si>
    <t xml:space="preserve">Annual report &gt; Company Profile &gt; Milestones</t>
  </si>
  <si>
    <t xml:space="preserve">Vidio OTT platform produces local original series and distributes entertainment content</t>
  </si>
  <si>
    <t xml:space="preserve">Hingga tahun 2025, Vidio telah memproduksi lebih dari 100 original series lokal dan secara konsisten mempertahankan posisinya sebagai platform OTT terdepan di Indonesia (Media Partners Asia, Juli 2025), yang semakin memperkuat reputasinya sebagai destinasi utama untuk tayangan olahraga serta konten original lokal.</t>
  </si>
  <si>
    <t xml:space="preserve">As of 2025, Vidio has produced over 100 local original series and consistently maintained its position as Indonesia's leading OTT platform (Media Partners Asia, July 2025), reinforcing its standing as a premier destination for sports programming and local original content.</t>
  </si>
  <si>
    <t xml:space="preserve">Group-wide employee learning and leadership program (EMTEK LEAD)</t>
  </si>
  <si>
    <t xml:space="preserve">Program EMTEK LEAD adalah inisiatif kepemimpinan komprehensif yang menumbuhkan budaya belajar bagi lebih dari 1.000 peserta melalui 36 sesi selama tahun 2025.</t>
  </si>
  <si>
    <t xml:space="preserve">The EMTEK LEAD Program is a comprehensive leadership initiative that fostered a learning culture for more than 1,000 participants through 36 sessions in 2025.</t>
  </si>
  <si>
    <t xml:space="preserve">Annual report &gt; Company Profile &gt; Human Resources &gt; EMTEK Learning and Development</t>
  </si>
  <si>
    <t xml:space="preserve">Participation in the national 'Siap Kerja' apprenticeship program with the Ministry of Manpower</t>
  </si>
  <si>
    <t xml:space="preserve">Di tingkat nasional, EMTEK turut berpartisipasi dalam program pemagangan “Siap Kerja” berkolaborasi dengan Kementerian Ketenagakerjaan (Kemnaker).</t>
  </si>
  <si>
    <t xml:space="preserve">Nationally, EMTEK actively participates in the 'Siap Kerja' apprenticeship program in collaboration with the Ministry of Manpower (Kemnaker).</t>
  </si>
  <si>
    <t xml:space="preserve">Annual report &gt; Company Profile &gt; Human Resources &gt; National and International Apprenticeship Program</t>
  </si>
  <si>
    <t xml:space="preserve">Global Internship Program hosting students from international universities</t>
  </si>
  <si>
    <t xml:space="preserve">Pada tahun 2025, Divisi SDM memperluas Program Magang Global dengan menerima peserta dari institusi internasional ternama seperti Ngee Ann Polytechnic, National University of Singapore (NUS), Singapore University of Social Science (SUSS), Singapore Management University (SMU dan SMU-X) dan University of New South Wales (UNSW).</t>
  </si>
  <si>
    <t xml:space="preserve">In 2025, the HR Division expanded its Global Internship Program, hosting participants from prestigious international institutions such as Ngee Ann Polytechnic, NUS, SUSS, SMU and SMU-X, and UNSW.</t>
  </si>
  <si>
    <t xml:space="preserve">community: education_business</t>
  </si>
  <si>
    <t xml:space="preserve">Institut Media Digital Emtek (IMDE), a higher-education institute in the group with lecturers and students</t>
  </si>
  <si>
    <t xml:space="preserve">Prof. Claude mendorong para dosen IMDE untuk membekali mahasiswa dengan keterampilan AI guna mempersiapkan mereka menghadapi masa depan dunia kerja dan inovasi.</t>
  </si>
  <si>
    <t xml:space="preserve">Prof. Claude urged IMDE lecturers to equip students with AI skills, preparing them for the future of work and innovation.</t>
  </si>
  <si>
    <t xml:space="preserve">Annual report &gt; Corporate Governance &gt; AI education initiatives</t>
  </si>
  <si>
    <t xml:space="preserve">EMC Healthcare community health programs including free hernia surgery</t>
  </si>
  <si>
    <t xml:space="preserve">Selain pengembangan fasilitas dan teknologi, EMC Healthcare juga secara konsisten menjalankan misi sosial melalui berbagai program kesehatan masyarakat, termasuk mendukung program operasi hernia gratis sebagai wujud komitmen terhadap akses layanan kesehatan yang inklusif.</t>
  </si>
  <si>
    <t xml:space="preserve">Beyond facilities and technology, EMC Healthcare consistently carries out its social mission through community health programs, including supporting a free hernia surgery program, as a commitment to inclusive healthcare access.</t>
  </si>
  <si>
    <t xml:space="preserve">Annual report &gt; Management Discussion and Analysis &gt; Healthcare</t>
  </si>
  <si>
    <t xml:space="preserve">Diamond sponsorship of the JEC 'Run For Sight See The World' charity run</t>
  </si>
  <si>
    <t xml:space="preserve">EMTEK berperan sebagai Sponsor Diamond untuk acara Run For Sight See The World yang diselenggarakan oleh JEC.</t>
  </si>
  <si>
    <t xml:space="preserve">EMTEK served as the Diamond Sponsor for the Run For Sight See The World event organized by JEC.</t>
  </si>
  <si>
    <t xml:space="preserve">Participation in the Women's Inspiring and Networking Group (WING) to build space for women's leadership</t>
  </si>
  <si>
    <t xml:space="preserve">Melalui Program Pemagangan Lulusan Perguruan Tinggi bersama Kementerian Ketenagakerjaan dan partisipasi pada Women’s Inspiring and Networking Group (WING), EMTEK membangun ruang bagi talenta muda dan kepemimpinan perempuan.</t>
  </si>
  <si>
    <t xml:space="preserve">Through the University Graduate Apprenticeship Program with the Ministry of Manpower and participation in the Women's Inspiring and Networking Group (WING), EMTEK builds space for young talent and women's leadership.</t>
  </si>
  <si>
    <t xml:space="preserve">Annual report &gt; Preface &gt; Theme</t>
  </si>
  <si>
    <t xml:space="preserve">Participates in and supports Kediri City's annual Kediri Nite Carnival cultural parade (and Kediri Half Marathon) as part of the city anniversary</t>
  </si>
  <si>
    <t xml:space="preserve">Perseroan turut berpartisipasi dalam perayaan hari jadi Kota Kediri yang meliputi Kediri Nite Carnival, sebuah parade budaya yang menampilkan kreativitas dan warisan budaya lokal yang diadakan setiap tahun, serta Kediri Half Marathon yang mendorong gaya hidup sehat dan menumbuhkan semangat kebersamaan di tengah masyarakat dan pengunjung.</t>
  </si>
  <si>
    <t xml:space="preserve">The Company took part in Kediri City's anniversary celebrations, which include the annual Kediri Nite Carnival, a cultural parade showcasing local creativity and heritage, as well as the Kediri Half Marathon, which promotes a healthy lifestyle while fostering community spirit among residents and visitors.</t>
  </si>
  <si>
    <t xml:space="preserve">Annual report &gt; Sustainability Report &gt; Social &gt; Kediri and Surroundings</t>
  </si>
  <si>
    <t xml:space="preserve">Corporate social responsibility spending on education, infrastructure, religious, social welfare and emergency programmes for surrounding communities</t>
  </si>
  <si>
    <t xml:space="preserve">Pada tahun 2025, Gudang Garam mengeluarkan dana sebesar Rp 212,8 miliar untuk kegiatan tanggung jawab sosial Perusahaan.</t>
  </si>
  <si>
    <t xml:space="preserve">In 2025, Gudang Garam spent Rp 212.8 billion on CSR programmes.</t>
  </si>
  <si>
    <t xml:space="preserve">Annual report &gt; Sustainability Report &gt; Social</t>
  </si>
  <si>
    <t xml:space="preserve">Routine donation of tents to support officers managing holiday traffic in East and Central Java</t>
  </si>
  <si>
    <t xml:space="preserve">Sebagai bagian dari dukungan rutin Perseroan, pada tahun 2025 Perseroan memberikan sumbangan berupa 121 tenda untuk membantu petugas yang berdinas menjaga jalur padat kendaraan di daerah Jawa Timur dan Jawa Tengah selama periode hari raya Idul Fitri, Natal, dan Tahun Baru.</t>
  </si>
  <si>
    <t xml:space="preserve">As part of its routine support, in 2025 the Company donated 121 tents to assist officers supervising peak traffic routes across East and Central Java during the Idul Fitri, Christmas and New Year holidays.</t>
  </si>
  <si>
    <t xml:space="preserve">Support for the East Java Provincial Environmental Agency's World Environment Day exhibition</t>
  </si>
  <si>
    <t xml:space="preserve">Dalam rangka memperingati Hari Lingkungan Hidup Sedunia tahun 2025, Gudang Garam memberikan dukungan kepada Dinas Lingkungan Hidup Provinsi Jawa Timur dengan turut berpartisipasi dalam Pameran Hari Lingkungan Hidup Sedunia, sebagai wujud komitmen Perseroan yang berkelanjutan terhadap peningkatan kesadaran lingkungan.</t>
  </si>
  <si>
    <t xml:space="preserve">In celebration of World Environment Day 2025, Gudang Garam supported the East Java Provincial Environmental Agency by participating in the World Environment Day Exhibition, demonstrating its continued commitment to environmental awareness.</t>
  </si>
  <si>
    <t xml:space="preserve">Annual report &gt; Sustainability Report &gt; Social &gt; Contributing to Local Communities</t>
  </si>
  <si>
    <t xml:space="preserve">Support for the Station Road area urban revitalization programme in Kediri City</t>
  </si>
  <si>
    <t xml:space="preserve">Perseroan juga mendukung peresmian program revitalisasi kawasan Jalan Stasiun di Kota Kediri yang bertujuan untuk menciptakan lingkungan perkotaan yang lebih tertata dan menarik.</t>
  </si>
  <si>
    <t xml:space="preserve">The Company also supported the inauguration of the Station Road area revitalization program in Kediri City, aimed at creating a more orderly and attractive urban environment.</t>
  </si>
  <si>
    <t xml:space="preserve">Support for the first-anniversary commemoration of Teras Gubug at an Islamic boarding school in Kediri</t>
  </si>
  <si>
    <t xml:space="preserve">Selain itu, Perseroan memberikan dukungan terhadap peringatan satu tahun “Teras Gubug” di Pondok Pesantren Al Falah Mojo, Kediri, sebagai bentuk kepeduliaan Perseroan terhadap kegiatan keagamaan.</t>
  </si>
  <si>
    <t xml:space="preserve">In addition, the Company supported the first anniversary commemoration of "Teras Gubug" at Pondok Pesantren Al Falah Mojo, Kediri, reflecting its care for religious activities.</t>
  </si>
  <si>
    <t xml:space="preserve">Contribution to the Kediri Regency Government's New Year 'Gempita Tahun Baru' celebration to promote regional tourism</t>
  </si>
  <si>
    <t xml:space="preserve">Sebagai bagian dari perayaan Tahun Baru 2026, Perseroan berkontribusi dalam kegiatan “Gempita Tahun Baru” yang diselenggarakan oleh Pemerintah Kabupaten Kediri di kawasan Simpang Lima Gumul, yang bertujuan untuk mendorong pengembangan pariwisata daerah.</t>
  </si>
  <si>
    <t xml:space="preserve">As part of the New Year 2026 celebrations, the Company contributed to the "Gempita Tahun Baru" event organized by the Kediri Regency Government at Simpang Lima Gumul, aimed at promoting regional tourism development.</t>
  </si>
  <si>
    <t xml:space="preserve">Participation in community automotive events (Kelud Vespa Day, Kediri Scooter Festival 8) supporting community-based tourism</t>
  </si>
  <si>
    <t xml:space="preserve">Dalam rangka mendukung pengembangan pariwisata berbasis komunitas, Perseroan turut berpartisipasi dalam berbagai kegiatan komunitas otomotif, antara lain “Kelud Vespa Day” di Lembah Kelud yang merupakan bagian dari program UMKM dan Pariwisata Pemerintah Kabupaten Kediri, serta “Kediri Scooter Festival 8” yang diselenggarakan di GOR Joyoboyo.</t>
  </si>
  <si>
    <t xml:space="preserve">To support community-based tourism, the Company participated in automotive community events, including "Kelud Vespa Day" at Lembah Kelud under the Kediri Regency Government's MSME and Tourism program, and the "Kediri Scooter Festival 8" at GOR Joyoboyo.</t>
  </si>
  <si>
    <t xml:space="preserve">Leadership, vocational and technical training programmes for employees</t>
  </si>
  <si>
    <t xml:space="preserve">Program pelatihan kepemimpinan, vokasional, dan teknis dilaksanakan sesuai dengan kebutuhan dan kondisi operasional Perusahaan.</t>
  </si>
  <si>
    <t xml:space="preserve">Leadership, vocational and technical training programmes were carried out in line with the Company's needs and operating conditions.</t>
  </si>
  <si>
    <t xml:space="preserve">Annual report &gt; Operations &gt; Human Resources</t>
  </si>
  <si>
    <t xml:space="preserve">Red flag</t>
  </si>
  <si>
    <t xml:space="preserve">Cigarette manufacturing is the company's core business, making up 98.2% of total revenue.</t>
  </si>
  <si>
    <t xml:space="preserve">Sesuai dengan pasal 3 Anggaran Dasarnya, Perseroan bergerak di bidang industri rokok dan aktivitas lain yang terkait dengan industri rokok.</t>
  </si>
  <si>
    <t xml:space="preserve">In accordance with article 3 of its Articles of Association, the Company is engaged in the cigarette industry and other related cigarette industry activities.</t>
  </si>
  <si>
    <t xml:space="preserve">Annual report &gt; Notes to the consolidated financial statements &gt; General</t>
  </si>
  <si>
    <t xml:space="preserve">Village entrepreneurship programs, agricultural processing training, business mentoring and market access support for assisted village MSMEs under the Public Contribution Roadmap</t>
  </si>
  <si>
    <t xml:space="preserve">Pada 2025, melalui payung Public Contribution Roadmap, Perseroan melanjutkan dan memperluas program kewirausahaan desa, pelatihan pengolahan hasil pertanian, serta penguatan akses pasar bagi Usaha, Mikro, Kecil dan Menengah (UMKM) binaan.</t>
  </si>
  <si>
    <t xml:space="preserve">In 2025, under the Public Contribution Roadmap, the Company continued and expanded village entrepreneurship programs, agricultural processing training, and strengthening of market access for assisted micro, small and medium enterprises (MSMEs).</t>
  </si>
  <si>
    <t xml:space="preserve">Annual report &gt; Triple-P Strategy Highlights &gt; Public Contribution &gt; Village Economic Development and MSMEs</t>
  </si>
  <si>
    <t xml:space="preserve">Paguyuban Mandiri employee-family housing communities with regular communal activities, described as valuing cultural diversity</t>
  </si>
  <si>
    <t xml:space="preserve">Selain sebagai tempat untuk mempererat hubungan sosial antar sesama karyawan dan keluarga, paguyuban juga mencerminkan komitmen Perseroan dalam menciptakan lingkungan kerja yang inklusif, keberagaman budaya dan latar belakang dihargai serta dijaga dengan baik.</t>
  </si>
  <si>
    <t xml:space="preserve">Besides being a place to strengthen social ties among employees and families, the paguyuban also reflects the Company's commitment to creating an inclusive work environment where cultural diversity and backgrounds are valued and well maintained.</t>
  </si>
  <si>
    <t xml:space="preserve">Annual report &gt; Company Profile &gt; Human Resource &gt; Industrial Relations &gt; Paguyuban Mandiri</t>
  </si>
  <si>
    <t xml:space="preserve">Assistance programs for plasma and independent smallholder farmers</t>
  </si>
  <si>
    <t xml:space="preserve">In 2025, the Company continued its assistance programs for plasma and independent smallholders, who represent a critical component of the Company’s supply chain.</t>
  </si>
  <si>
    <t xml:space="preserve">Annual report &gt; Triple-P Strategy Highlights &gt; Partnership Program and Smallholder Inclusion</t>
  </si>
  <si>
    <t xml:space="preserve">Four-pillar CSR program (Education, Health, Economic Development, Environment) for communities around plantations</t>
  </si>
  <si>
    <t xml:space="preserve">Selanjutnya dalam Public Contribution Roadmap, Perseroan terus berupaya menumbuh-kembangkan kepedulian terhadap masyarakat yang hidup di sekitar perkebunan melalui kegiatan empat pilar Corporate Social Responsibility (CSR), yaitu pilar Pendidikan, Pilar Kesehatan, Pilar Pengembangan Ekonomi, dan Pilar Lingkungan Hidup.</t>
  </si>
  <si>
    <t xml:space="preserve">Under the Public Contribution Roadmap, the Company continues to foster care for communities living around its plantations through activities under four CSR pillars: Education, Health, Economic Development, and Environment.</t>
  </si>
  <si>
    <t xml:space="preserve">Annual report &gt; Board of Directors' Report &gt; Public Contribution Roadmap &gt; CSR</t>
  </si>
  <si>
    <t xml:space="preserve">Breast cancer prevention outreach with Lovepink Indonesia involving villagers around plantations, health workers and employee wives' community</t>
  </si>
  <si>
    <t xml:space="preserve">Astra Agro bersama Lovepink Indonesia berkolaborasi dalam upaya pencegahan kanker payudara di Kalimantan Tengah pada 6 Desember 2025 dengan melibatkan masyarakat desa sekitar perkebunan, tenaga kesehatan, serta komunitas PERISKA (Perwakilan Istri Karyawan).</t>
  </si>
  <si>
    <t xml:space="preserve">Astra Agro, together with Lovepink Indonesia, collaborated on breast cancer prevention efforts in Central Kalimantan on December 6, 2025, involving village communities around the plantations, health workers and the PERISKA (Employee Wives' Representatives) community.</t>
  </si>
  <si>
    <t xml:space="preserve">Annual report &gt; Performance Highlights &gt; Event Highlights 2025 &gt; December</t>
  </si>
  <si>
    <t xml:space="preserve">Doctoral scholarship program with Newcastle University for bio-pesticide research</t>
  </si>
  <si>
    <t xml:space="preserve">Perseroan bekerja sama dengan Universitas Newcastle, Inggris, melalui program beasiswa doktoral dalam pengembangan biopestisida organik terbaru yang ramah lingkungan dan sejalan dengan prinsip Perseroan dalam menjalankan praktik budidaya tanaman berkelanjutan.</t>
  </si>
  <si>
    <t xml:space="preserve">The Company partners with Newcastle University, UK, through a doctoral scholarship program to develop the latest environmentally friendly organic bio-pesticides, in line with the Company's sustainable cultivation principles.</t>
  </si>
  <si>
    <t xml:space="preserve">Annual report &gt; Research and Development &gt; Collaborations</t>
  </si>
  <si>
    <t xml:space="preserve">Employee training through Astra Agro Academy, Astra Management Development Institute and external vendors</t>
  </si>
  <si>
    <t xml:space="preserve">Perseroan memiliki program pelatihan yang dijalankan secara internal melalui Astra Agro Academy (AAA), Astra Management Development Institute (AMDI) dan eksternal vendor.</t>
  </si>
  <si>
    <t xml:space="preserve">The Company has training programs run internally through Astra Agro Academy (AAA), Astra Management Development Institute (AMDI), and external vendors.</t>
  </si>
  <si>
    <t xml:space="preserve">Annual report &gt; Company Profile &gt; Human Resource &gt; Employee Training and Competency Development</t>
  </si>
  <si>
    <t xml:space="preserve">Expert Track education scholarships for researcher employees</t>
  </si>
  <si>
    <t xml:space="preserve">Salah satu inisiatif strategis adalah pemberian kesempatan kepada karyawan peniliti untuk mengikuti program beasiswa pendidikan melalui skema Expert Track.</t>
  </si>
  <si>
    <t xml:space="preserve">One strategic initiative is giving researcher employees the opportunity to pursue education scholarships through the Expert Track scheme.</t>
  </si>
  <si>
    <t xml:space="preserve">Annual report &gt; Company Profile &gt; Human Resource &gt; Competency and Career Development</t>
  </si>
  <si>
    <t xml:space="preserve">Diversity &amp; Inclusion / Gender Committee with Women Champions in each operational area</t>
  </si>
  <si>
    <t xml:space="preserve">Currently, the number of Women Champion members within the Company’s operational areas is 39.</t>
  </si>
  <si>
    <t xml:space="preserve">Annual report &gt; Company Profile &gt; Human Resource &gt; Inclusive Environment &gt; Gender Committee and Women Champion Astra Agro</t>
  </si>
  <si>
    <t xml:space="preserve">D&amp;I awareness program with materials placed across all subsidiaries, including schools, childcare centres and employee housing</t>
  </si>
  <si>
    <t xml:space="preserve">Berbagai media informasi seperti poster dan spanduk terkait dengan D&amp;I dibuat dan ditempatkan di berbagai tempat strategis di setiap anak perusahaan Perseroan (fasilitas umum, tempat penitipan anak, sekolah, kantor besar, dan paguyuban).</t>
  </si>
  <si>
    <t xml:space="preserve">Various information media such as D&amp;I posters and banners were created and placed in strategic locations in every subsidiary of the Company (public facilities, childcare centres, schools, head offices, and paguyuban).</t>
  </si>
  <si>
    <t xml:space="preserve">Annual report &gt; Company Profile &gt; Human Resource &gt; Inclusive Environment &gt; D&amp;I Awareness Program</t>
  </si>
  <si>
    <t xml:space="preserve">D&amp;I training-for-trainers program to create internal D&amp;I facilitators</t>
  </si>
  <si>
    <t xml:space="preserve">Selain itu, Perseroan juga menyelenggarakan program training for trainers yang diberikan kepada perwakilan perusahaan untuk selanjutnya berperan sebagai fasilitator internal.</t>
  </si>
  <si>
    <t xml:space="preserve">In addition, the Company also held a training-for-trainers program for company representatives, who will subsequently serve as internal facilitators.</t>
  </si>
  <si>
    <t xml:space="preserve">Annual report &gt; Company Profile &gt; Human Resource &gt; Inclusive Environment &gt; D&amp;I for Leaders</t>
  </si>
  <si>
    <t xml:space="preserve">Bogasari Next Baker competition for state vocational high school students</t>
  </si>
  <si>
    <t xml:space="preserve">Kompetisi Bogasari Next Baker bagi siswa Sekolah Menengah Kejuruan Negeri telah sukses diselenggarakan di wilayah Jabodetabek dan pulau Jawa dengan tingkat partisipasi yang tinggi, dan rencananya akan semakin diperluas ke seluruh pulau Jawa dan Sumatera pada tahun 2026 mendatang.</t>
  </si>
  <si>
    <t xml:space="preserve">The Bogasari Next Baker competition for students of state vocational high schools was successfully conducted in the Jabodetabek and Java regions with high participation, and is planned to be extended across all of Java and Sumatra in 2026.</t>
  </si>
  <si>
    <t xml:space="preserve">Annual report &gt; Operational review &gt; Bogasari Division</t>
  </si>
  <si>
    <t xml:space="preserve">Educational partnerships with universities and culinary vocational schools</t>
  </si>
  <si>
    <t xml:space="preserve">Kegiatan edukasi turut diperluas melalui kerjasama dengan berbagai universitas dan sekolah kejuruan tata boga di seluruh Indonesia.</t>
  </si>
  <si>
    <t xml:space="preserve">Educational outreach was further expanded through partnerships with various universities and culinary vocational schools throughout Indonesia.</t>
  </si>
  <si>
    <t xml:space="preserve">Training programs for employees covering technical and soft skills</t>
  </si>
  <si>
    <t xml:space="preserve">Perseroan menyediakan beragam program pelatihan yang dirancang untuk meningkatkan keterampilan teknis maupun soft skill karyawan.</t>
  </si>
  <si>
    <t xml:space="preserve">The Company provides a variety of training programs designed to improve employees' technical and soft skills.</t>
  </si>
  <si>
    <t xml:space="preserve">Annual report &gt; Human Resources &gt; Competency development</t>
  </si>
  <si>
    <t xml:space="preserve">Lactation rooms for breastfeeding mothers at operational units</t>
  </si>
  <si>
    <t xml:space="preserve">Untuk mendukung kesejahteraan karyawan, Indofood menyediakan berbagai sarana, seperti ruang-ruang laktasi di unit operasional bagi para ibu menyusui.</t>
  </si>
  <si>
    <t xml:space="preserve">To support employee welfare, Indofood provides facilities such as lactation rooms for breastfeeding mothers in the operational units.</t>
  </si>
  <si>
    <t xml:space="preserve">Annual report &gt; Human Resources &gt; Employee welfare</t>
  </si>
  <si>
    <t xml:space="preserve">Sales programs encouraging participation of small and medium enterprises</t>
  </si>
  <si>
    <t xml:space="preserve">Perseroan mengembangkan program-program penjualan yang meningkatkan keterlibatan pelaku usaha kecil dan menengah.</t>
  </si>
  <si>
    <t xml:space="preserve">The Company developed sales programs that increase the participation of small and medium enterprises.</t>
  </si>
  <si>
    <t xml:space="preserve">Annual report &gt; Risk management &gt; Sustainability risk</t>
  </si>
  <si>
    <t xml:space="preserve">Dairy products marketed to SMEs such as coffee shops and home entrepreneurs through F&amp;B exhibitions</t>
  </si>
  <si>
    <t xml:space="preserve">To position the Division as a one-stop dairy solution for small and medium-sized enterprise (SME) like coffee shops and home entrepreneurs, we participated in various F&amp;B exhibitions to showcase our product portfolio and diverse applications.</t>
  </si>
  <si>
    <t xml:space="preserve">Annual report &gt; Operational review &gt; Dairy Division</t>
  </si>
  <si>
    <t xml:space="preserve">Beverage product launch promoted through anime and comic event collaborations</t>
  </si>
  <si>
    <t xml:space="preserve">Peluncuran Fruitamin Cocobit dengan varian rasa buah kekinian dari Jepang didukung oleh kolaborasi dalam berbagai acara anime dan komik, sedangkan kampanye yang dirancang khusus untuk mengedepankan manfaat minum air telah dikembangkan dan dilakukan berkolaborasi dengan berbagai komunitas olahraga.</t>
  </si>
  <si>
    <t xml:space="preserve">The launch of Fruitamin Cocobit with trendy Japanese fruit flavors was supported by collaborations at various anime and comic events, while campaigns specifically designed to highlight the benefits of drinking water were developed and carried out in collaboration with various sports communities.</t>
  </si>
  <si>
    <t xml:space="preserve">Annual report &gt; Operational review &gt; Beverages Division</t>
  </si>
  <si>
    <t xml:space="preserve">Sampoerna Entrepreneurship Training Center (SETC) runs entrepreneurship training, mentoring and export preparation for MSMEs and the public</t>
  </si>
  <si>
    <t xml:space="preserve">Sejak tahun 2007, Sampoerna Entrepreneurship Training Center (SETC) yang berlokasi di fasilitas seluas 27 hektare di Pasuruan, Jawa Timur, telah melatih lebih dari 108.000 peserta dalam berbagai bidang, termasuk riset pasar, pengembangan produk, strategi pemasaran, serta persiapan ekspor.</t>
  </si>
  <si>
    <t xml:space="preserve">Since 2007, the Sampoerna Entrepreneurship Training Center (SETC), based at our 27-hectare facility in Pasuruan, East Java, has trained over 108,000 participants in areas including market research, product development, marketing strategies, and export preparation.</t>
  </si>
  <si>
    <t xml:space="preserve">Annual report &gt; Report of the Board of Directors &gt; Fostering organization development and strengthening strategic partnerships</t>
  </si>
  <si>
    <t xml:space="preserve">Disability inclusion program: awareness platform for employees, plus access evaluations and hiring of persons with disabilities</t>
  </si>
  <si>
    <t xml:space="preserve">Melalui diseminasi informasi serta penyediaan platform interaksi terkait disabilitas kepada karyawan, Perusahaan meningkatkan pemahaman karyawan mengenai kebutuhan penyandang disabilitas serta mendorong terciptanya lingkungan kerja yang inklusif dan kolaboratif.</t>
  </si>
  <si>
    <t xml:space="preserve">Through the dissemination of information and the provision of interactive platforms on disability-related topics, the Company enhances employees' understanding of the needs of persons with disabilities and fosters an inclusive and collaborative work environment.</t>
  </si>
  <si>
    <t xml:space="preserve">Sustainability Report &gt; Healthy and Fair Working Environment &gt; Inclusion for People with Disabilities</t>
  </si>
  <si>
    <t xml:space="preserve">Sampoerna Retail Community (SRC) network with the AYO by SRC app giving small grocery stores digital business tools</t>
  </si>
  <si>
    <t xml:space="preserve">Aplikasi AYO by SRC menghubungkan toko, pedagang grosir, dan konsumen, serta mendorong adopsi digital di kalangan anggota dengan tingkat adopsi sekitar 90% dan telah memfasilitasi lebih dari 11,5 juta transaksi dengan nilai total melebihi USD1 miliar.</t>
  </si>
  <si>
    <t xml:space="preserve">The AYO by SRC app connects stores, wholesalers and consumers and drives digital adoption among members, with around 90% adoption, and has facilitated over 11.5 million transactions with a total value exceeding USD1 billion.</t>
  </si>
  <si>
    <t xml:space="preserve">Women Ecosystem Catalyst (WEC) Season 2 training, mentoring and networking for women entrepreneurs in Central Java</t>
  </si>
  <si>
    <t xml:space="preserve">Melalui program Women Ecosystem Catalyst (WEC) Season 2 yang dilaksanakan bersama Gerakan Solida ritas Nasional (GSN), Pemerintah Provinsi Jawa Tengah, dan Asosiasi Imajinasi Penaja Mula (Impala), Perseroan melibatkan lebih dari 1.000 wirausaha perempuan di Jawa Tengah melalui pelatihan, pendampingan, serta penguatan jejaring untuk menjawab berbagai tantangan yang dihadapi.</t>
  </si>
  <si>
    <t xml:space="preserve">Through the Women Ecosystem Catalyst (WEC) Season 2 program, implemented with GSN, the Central Java Provincial Government and the Impala Association, the Company engaged over 1,000 women entrepreneurs in Central Java through training, mentoring and networking to address the challenges they face.</t>
  </si>
  <si>
    <t xml:space="preserve">Sampoerna Karya Bangsa subsidiary runs vocational and skills training for the public</t>
  </si>
  <si>
    <t xml:space="preserve">Program pengembangan keterampilan dan pelatihan vokasional yang bertujuan untuk mencetak wirausahawan mandiri dan tenaga kerja terlatih yang mampu berkontribusi terhadap kemandirian ekonomi nasional.</t>
  </si>
  <si>
    <t xml:space="preserve">Skills development and vocational training program aimed to cultivate independent entrepreneurs and skilled workers capable of contributing to national economic independence.</t>
  </si>
  <si>
    <t xml:space="preserve">Annual report &gt; Sampoerna's Economic Contribution &gt; Vocational Training</t>
  </si>
  <si>
    <t xml:space="preserve">Higher-education support for students from underprivileged families with Putera Sampoerna Foundation</t>
  </si>
  <si>
    <t xml:space="preserve">From 2010 to 2025, this program has provided support to more than 1,300 college students across Indonesia.</t>
  </si>
  <si>
    <t xml:space="preserve">Sustainability Report &gt; Socioeconomic Well-being within Our Communities &gt; Support for Education</t>
  </si>
  <si>
    <t xml:space="preserve">Sampoerna Rescue (SAR) volunteer disaster relief missions</t>
  </si>
  <si>
    <t xml:space="preserve">By 2025, SAR had carried out over 340 humanitarian missions, reaching various disaster-affected areas, providing direct assistance to over 215,000 beneficiaries, and received 12 awards for disaster relief missions and mitigation efforts.</t>
  </si>
  <si>
    <t xml:space="preserve">Sustainability Report &gt; Socioeconomic Well-being within Our Communities &gt; Sampoerna Rescue (SAR)</t>
  </si>
  <si>
    <t xml:space="preserve">Training and development program for children of farmers and workers in Rembang</t>
  </si>
  <si>
    <t xml:space="preserve">Di tahun 2025, Sampoerna mengadakan program pelatihan dan pengembangan bagi masyarakat desa di Rembang, Jawa Tengah, khususnya anak-anak petani dan pekerja yang berusia 6-15 tahun.</t>
  </si>
  <si>
    <t xml:space="preserve">In 2025, Sampoerna held a training and development program for villagers in Rembang, Central Java, specifically for children of farmers and workers aged 6-15 years.</t>
  </si>
  <si>
    <t xml:space="preserve">Sustainability Report &gt; Sustainable Supply Chain Management &gt; Child Labor Eradication Program</t>
  </si>
  <si>
    <t xml:space="preserve">Distribution of paddy reapers and training for farmer groups</t>
  </si>
  <si>
    <t xml:space="preserve">Recognizing that many tobacco and clove partner farmers also grow food crops, we collaborated with the National Solidarity Movement (GSN) and the STAPA Center Foundation to distribute 200 paddy reapers and provide training to 200 farmer groups.</t>
  </si>
  <si>
    <t xml:space="preserve">Skills for the Future employee learning program with external institutions</t>
  </si>
  <si>
    <t xml:space="preserve">One of our key initiatives, Skills for the Future, provides access to short courses, certifications, workshops, and higher education programs delivered by reputable external institutions, enabling employees to develop future-relevant skills.</t>
  </si>
  <si>
    <t xml:space="preserve">Annual report &gt; Our People &gt; Inspiring Growth and Developing Future-Ready Talent</t>
  </si>
  <si>
    <t xml:space="preserve">Manufacturing and trading cigarettes and tobacco products is the core business (one operating segment, 99.6% of net revenues).</t>
  </si>
  <si>
    <t xml:space="preserve">Berawal sebagai perusahaan keluarga sederhana pada tahun 1913, Perseroan kini telah berkembang menjadi perusahaan tembakau terkemuka di Indonesia.</t>
  </si>
  <si>
    <t xml:space="preserve">What began as a humble family company in 1913 has since grown into Indonesia's leading tobacco company.</t>
  </si>
  <si>
    <t xml:space="preserve">Annual report &gt; Report of the Board of Directors</t>
  </si>
  <si>
    <t xml:space="preserve">The internal Ethics &amp; Compliance process substantiated 36 cases in 2025. Case types are not broken out and may be mostly non-rights matters such as fraud. No finding by a court, regulator or outside body is disclosed, so this costs no points.</t>
  </si>
  <si>
    <t xml:space="preserve">Dari seluruh laporan, 36 laporan memiliki bukti yang cukup bagi Perseroan untuk memberi sanksi kepada karyawan bersangkutan.</t>
  </si>
  <si>
    <t xml:space="preserve">Of all reports, 36 had sufficient evidence for the Company to sanction the employees concerned.</t>
  </si>
  <si>
    <t xml:space="preserve">Annual report &gt; Corporate Governance &gt; Code of Conduct / Speak Up</t>
  </si>
  <si>
    <t xml:space="preserve">Supports Indonesia's creative/craft industry through the INACRAFT craft exhibition</t>
  </si>
  <si>
    <t xml:space="preserve">Bank Mandiri Supports Creative Industry at INACRAFT as a Momentum for the 27th Anniversary: Synergy to Advance the Country</t>
  </si>
  <si>
    <t xml:space="preserve">Annual report &gt; Corporate Governance &gt; Press releases list</t>
  </si>
  <si>
    <t xml:space="preserve">cross_cultural: internal_practice; community: external_education</t>
  </si>
  <si>
    <t xml:space="preserve">Kriya Mandiri internship, including a contact-center internship track for people with disabilities</t>
  </si>
  <si>
    <t xml:space="preserve">For the contact center position, the Bank also offers a specialized internship program for participants with disabilities, known as Kriya Mandiri Contact Center, designed for applicants with a minimum education level of high school.</t>
  </si>
  <si>
    <t xml:space="preserve">Annual report &gt; Management Discussion and Analysis &gt; Human Capital &gt; Recruitment</t>
  </si>
  <si>
    <t xml:space="preserve">KUR loan product designed for Indonesian migrant workers</t>
  </si>
  <si>
    <t xml:space="preserve">KUR for Migrant Workers (KUR TKI), for loan ceilings up to Rp25 million per borrower, with a tenure aligned to the employment contract or a maximum of 12 months.</t>
  </si>
  <si>
    <t xml:space="preserve">Annual report &gt; ESG Implementation Report &gt; For Communities &gt; People's Business Loan (KUR)</t>
  </si>
  <si>
    <t xml:space="preserve">Livin' Merchant: free point-of-sale and QRIS payment app for micro and small merchants</t>
  </si>
  <si>
    <t xml:space="preserve">To advance financial inclusion, Livin’ Merchant provides an affordable payment solution for MSMEs, with 3 million registered users, 63% of whom are located in non-urban areas.</t>
  </si>
  <si>
    <t xml:space="preserve">Government-backed People's Business Credit (KUR) for businesses lacking sufficient collateral</t>
  </si>
  <si>
    <t xml:space="preserve">From the start of the program in 2008 up to 2025, the Bank has disbursed KUR to 963,340 million borrowers, with a total financing value of Rp68.5 trillion.</t>
  </si>
  <si>
    <t xml:space="preserve">entrepreneurship: enabling; community: external_education</t>
  </si>
  <si>
    <t xml:space="preserve">Mandiri UKM Center providing MSMEs with credit access, literacy, mentoring and tax/financial advisory</t>
  </si>
  <si>
    <t xml:space="preserve">Mandiri UKMC Objectives: Providing a platform for MSMEs to access credit financing more quickly and easily while improving their competencies through literacy programs, mentoring, and training, such as tax advisory, financial report education, and more.</t>
  </si>
  <si>
    <t xml:space="preserve">Annual report &gt; ESG Implementation Report &gt; For Our Customers &gt; Financial literacy programs</t>
  </si>
  <si>
    <t xml:space="preserve">Employee education and training through Mandiri Corporate University</t>
  </si>
  <si>
    <t xml:space="preserve">Meanwhile, the realization of education and training expenses amounted to Rp326.4 billion as of December 2025, representing 70.9% of the 2025 competency development budget target.</t>
  </si>
  <si>
    <t xml:space="preserve">Annual report &gt; Management Discussion and Analysis</t>
  </si>
  <si>
    <t xml:space="preserve">Aksi Bersih Mandiri environmental volunteering with employees and local communities</t>
  </si>
  <si>
    <t xml:space="preserve">The initiative successfully collected and recycled approximately 12.7 tonnes of inorganic waste and involved more than 1,350 volunteers from Bank Mandiri employees and surrounding communities.</t>
  </si>
  <si>
    <t xml:space="preserve">Annual report &gt; Social and Environmental Responsibility &gt; Aksi Bersih Mandiri</t>
  </si>
  <si>
    <t xml:space="preserve">Livin' Fest events across several cities showcasing MSMEs and the creative economy</t>
  </si>
  <si>
    <t xml:space="preserve">Celebrating the 27th Anniversary, Bank Mandiri Holds Livin' Fest with Synergy of MSMEs and Creative Economy</t>
  </si>
  <si>
    <t xml:space="preserve">Rumah BUMN centres providing training, capacity building and digitalisation for MSMEs</t>
  </si>
  <si>
    <t xml:space="preserve">As of 2025, a total of 17.6 thousand MSMEs had participated in the program, with 7,928 MSMEs successfully moving up a level, supported by more than 295 training programs.</t>
  </si>
  <si>
    <t xml:space="preserve">Annual report &gt; Social and Environmental Responsibility &gt; Rumah BUMN (RB)</t>
  </si>
  <si>
    <t xml:space="preserve">Mandiri Peduli Sekolah school refurbishment and reading corners with employee volunteers</t>
  </si>
  <si>
    <t xml:space="preserve">In 2025, the program was implemented in 27 schools across Indonesia, involving employees and community members as volunteers to strengthen social engagement and community care.</t>
  </si>
  <si>
    <t xml:space="preserve">Annual report &gt; Social and Environmental Responsibility &gt; Mandiri Peduli Sekolah</t>
  </si>
  <si>
    <t xml:space="preserve">Annual social and environmental responsibility (TJSL) spending on community development</t>
  </si>
  <si>
    <t xml:space="preserve">As such. the Bank integrates social and environmental considerations into its strategy and operations and has allocated Rp251.1 billion in 2025 to support community development and environmental initiatives.</t>
  </si>
  <si>
    <t xml:space="preserve">Annual report &gt; Corporate Governance &gt; Funding to Social and/or Political Activities</t>
  </si>
  <si>
    <t xml:space="preserve">Wirausaha Muda Mandiri young-entrepreneur competition with after-competition mentoring and alumni support</t>
  </si>
  <si>
    <t xml:space="preserve">At the beginning of 2025, the implementation of WMM was focused on the peak stage of the WMM competition, which served as the main phase in the selection, curation, and assessment of 20 high-potential young entrepreneurs.</t>
  </si>
  <si>
    <t xml:space="preserve">Annual report &gt; Social and Environmental Responsibility &gt; Wirausaha Muda Mandiri (WMM)</t>
  </si>
  <si>
    <t xml:space="preserve">community: external_education; cross_cultural: customer_access; entrepreneurship: enabling</t>
  </si>
  <si>
    <t xml:space="preserve">Mandiri Sahabatku entrepreneurship and financial literacy training for Indonesian migrant workers abroad</t>
  </si>
  <si>
    <t xml:space="preserve">This empowerment training program for Indonesian Migrant Workers focuses on entrepreneurship preparation, financial literacy and inclusion, as well as mentoring to enhance business capabilities and financial independence.</t>
  </si>
  <si>
    <t xml:space="preserve">Annual report &gt; Social and Environmental Responsibility &gt; Mandiri Sahabatku</t>
  </si>
  <si>
    <t xml:space="preserve">cross_cultural: customer_access; community: external_education</t>
  </si>
  <si>
    <t xml:space="preserve">Mandiri Sahabat Difabel: skills training, financial literacy and MSME mentoring for persons with disabilities</t>
  </si>
  <si>
    <t xml:space="preserve">In 2025, support was provided to 210 persons with disabilities through the following initiatives:</t>
  </si>
  <si>
    <t xml:space="preserve">Annual report &gt; Social and Environmental Responsibility &gt; Mandiri Sahabat Difabel</t>
  </si>
  <si>
    <t xml:space="preserve">Tailored savings accounts for persons with disabilities, including those without a national ID number</t>
  </si>
  <si>
    <t xml:space="preserve">Bank Mandiri also strengthens financial inclusion for persons with disabilities through the Inclusive Economic Acceleration Program, which includes opening 10,000 new savings accounts across West Java, Central Java, and Yogyakarta.</t>
  </si>
  <si>
    <t xml:space="preserve">Annual report &gt; ESG Implementation Report &gt; For Communities &gt; Mandiri Makmur Savings (SiMakmur)</t>
  </si>
  <si>
    <t xml:space="preserve">Title sponsorship of the BNI Java Jazz Festival 2025 music festival, run alongside customer promotions</t>
  </si>
  <si>
    <t xml:space="preserve">Sebagai bagian dukungan BNI dalam event International BNI Java Jazz Festival 2025, BNI menyiapkan deretan promo menarik selama festival musik terbesar di Asia Tenggara tersebut berlangsung.</t>
  </si>
  <si>
    <t xml:space="preserve">As part of BNI's support for the International BNI Java Jazz Festival 2025, BNI prepared a series of attractive promotions during the largest music festival in Southeast Asia.</t>
  </si>
  <si>
    <t xml:space="preserve">Annual report &gt; Peristiwa Penting 2025 &gt; 30 Mei - 1 Juni BNI Java Jazz Festival 2025</t>
  </si>
  <si>
    <t xml:space="preserve">Grants to places of worship of various religions</t>
  </si>
  <si>
    <t xml:space="preserve">Pada tahun 2025, BNI telah menyalurkan bantuan kepada 142 sarana ibadah dari berbagai agama yang tersebar di berbagai wilayah kerja BNI.</t>
  </si>
  <si>
    <t xml:space="preserve">In 2025, BNI provided assistance to 142 places of worship of various religions across BNI's working areas.</t>
  </si>
  <si>
    <t xml:space="preserve">Annual report &gt; Tanggung Jawab Sosial dan Lingkungan &gt; Dukungan untuk Kota dan Pemukiman &gt; Sarana Ibadah</t>
  </si>
  <si>
    <t xml:space="preserve">BNI Agen46 branchless-banking agent network extending financial services to remote and underserved (3T) regions</t>
  </si>
  <si>
    <t xml:space="preserve">Dalam rangka memperluas jangkauan, BNI memiliki 217 .013 Agen46 dengan 28.177 Agen atau sekitar 13% berada di wilayah 3T BNI Agen46 yang merupakan mitra BNI dalam menyediakan layanan perbankan kepada masyarakat dalam rangka keuangan inklusif.</t>
  </si>
  <si>
    <t xml:space="preserve">To expand reach, BNI has 217,013 Agen46 agents, of which 28,177 (about 13%) are in frontier, outermost and disadvantaged (3T) regions; Agen46 are BNI partners providing banking services to the public for financial inclusion.</t>
  </si>
  <si>
    <t xml:space="preserve">Annual report &gt; Komitmen ESG &gt; Inklusi Keuangan &gt; BNI Agen46</t>
  </si>
  <si>
    <t xml:space="preserve">cross_cultural: customer_access; entrepreneurship: enabling</t>
  </si>
  <si>
    <t xml:space="preserve">Support for 10 small businesses run by people with disabilities, with the Ministry of Social Affairs</t>
  </si>
  <si>
    <t xml:space="preserve">BNI juga berkolaborasi dengan Kementerian Sosial Republik Indonesia dalam memberikan dukungan kepada 10 UMKM disabilitas, berupa bantuan peralatan usaha, pendampingan pengembangan usaha, pendampingan pengelolaan media sosial, serta penyediaan alat bantu disabilitas.</t>
  </si>
  <si>
    <t xml:space="preserve">BNI also worked with the Ministry of Social Affairs to support 10 MSMEs run by people with disabilities, with business equipment, business development mentoring, social media coaching and assistive devices.</t>
  </si>
  <si>
    <t xml:space="preserve">Annual report &gt; Tanggung Jawab Sosial dan Lingkungan &gt; Pilar Ekonomi &gt; Pemberdayaan Penyandang Disabilitas</t>
  </si>
  <si>
    <t xml:space="preserve">Capacity building and financial literacy for Indonesian migrant workers (PMI) in Hong Kong via BNI Remittance</t>
  </si>
  <si>
    <t xml:space="preserve">BNI Remittance juga aktif terlibat dalam beberapa kegiatan dengan PMI seperti capacity building , literasi keuangan, kunjungan ke komunitas-komunitas PMI di Hong Kong, dan lain sebagainya.</t>
  </si>
  <si>
    <t xml:space="preserve">BNI Remittance is also actively involved in activities with Indonesian migrant workers (PMI), such as capacity building, financial literacy and visits to PMI communities in Hong Kong.</t>
  </si>
  <si>
    <t xml:space="preserve">Annual report &gt; Analisis dan Pembahasan &gt; Perusahaan Anak &gt; BNI Remittance</t>
  </si>
  <si>
    <t xml:space="preserve">BNI Xpora program helping MSMEs export (financing, business matching, training modules, legal setup)</t>
  </si>
  <si>
    <t xml:space="preserve">Hingga 31 Desember 2025, program BNI Xpora telah mendorong 12.094 pelaku UMKM untuk meraih pasar global.</t>
  </si>
  <si>
    <t xml:space="preserve">As of 31 December 2025, the BNI Xpora program has helped 12,094 MSMEs reach global markets.</t>
  </si>
  <si>
    <t xml:space="preserve">Annual report &gt; Fungsi Penunjang Bisnis &gt; Teknologi Informasi &gt; BNI Xpora</t>
  </si>
  <si>
    <t xml:space="preserve">Launch of hi by hibank app for MSME business management, financing and development</t>
  </si>
  <si>
    <t xml:space="preserve">Pada tahun 2025, hibank secara resmi meluncurkan aplikasi mobile banking hi by hibank sebagai solusi digital terintegrasi yang dirancang khusus untuk mendukung digitalisasi serta pengembangan UMKM di Indonesia.</t>
  </si>
  <si>
    <t xml:space="preserve">In 2025, hibank officially launched the hi by hibank mobile banking app as an integrated digital solution designed specifically to support the digitalization and development of MSMEs in Indonesia.</t>
  </si>
  <si>
    <t xml:space="preserve">Annual report &gt; Profil Perusahaan &gt; Perusahaan Anak &gt; PT Bank Hibank Indonesia</t>
  </si>
  <si>
    <t xml:space="preserve">BNIdirect bisnis digital banking platform designed for MSMEs</t>
  </si>
  <si>
    <t xml:space="preserve">Salah satu inovasi utama yang diluncurkan pada Agustus 2025 adalah BNIdirect bisnis, sebuah platform digital yang dirancang khusus untuk merangkul dan mempermudah bisnis berskala UMKM agar dapat menikmati layanan perbankan digital yang setara dengan perusahaan korporasi.</t>
  </si>
  <si>
    <t xml:space="preserve">A key innovation launched in August 2025 is BNIdirect bisnis, a digital platform designed specifically to bring MSME-scale businesses digital banking services on par with corporations.</t>
  </si>
  <si>
    <t xml:space="preserve">Annual report &gt; Analisis dan Pembahasan &gt; Corporate Banking &gt; Keunggulan Kompetitif dan Inovasi</t>
  </si>
  <si>
    <t xml:space="preserve">BNI Ventures BNV Arcade startup acceleration and incubation program</t>
  </si>
  <si>
    <t xml:space="preserve">Dalam rangkaian aktivitas tersebut, BNI Ventures menyelenggarakan program akselerasi dan inkubasi dengan menggandeng mitra strategis, serta membuka pintu match-making antara perusahaan rintisan dengan unit bisnis terkait di BNI Group.</t>
  </si>
  <si>
    <t xml:space="preserve">In these activities, BNI Ventures runs acceleration and incubation programs with strategic partners and opens match-making between startups and relevant BNI Group business units.</t>
  </si>
  <si>
    <t xml:space="preserve">Annual report &gt; Analisis dan Pembahasan &gt; Perusahaan Anak &gt; BNI Ventures</t>
  </si>
  <si>
    <t xml:space="preserve">Government-subsidized People's Business Credit (KUR) for micro, small and medium businesses</t>
  </si>
  <si>
    <t xml:space="preserve">Kredit Usaha Rakyat (KUR) merupakan program pembiayaan bersubsidi dari pemerintah yang dirancang untuk meningkatkan akses permodalan bagi Usaha Mikro, Kecil, dan Menengah (UMKM).</t>
  </si>
  <si>
    <t xml:space="preserve">People's Business Credit (KUR) is a government-subsidized financing program designed to improve access to capital for micro, small and medium enterprises.</t>
  </si>
  <si>
    <t xml:space="preserve">Annual report &gt; Analisis dan Pembahasan &gt; SME Business &amp; Business Program</t>
  </si>
  <si>
    <t xml:space="preserve">Support for the Indonesian film industry through a collaboration on the film TIMUR (press-release headline only)</t>
  </si>
  <si>
    <t xml:space="preserve">BNI Dukung Industri Film Nasional Lewat Kolaborasi dengan Iko Uwais di Film TIMUR</t>
  </si>
  <si>
    <t xml:space="preserve">BNI supports the national film industry through a collaboration with Iko Uwais on the film TIMUR</t>
  </si>
  <si>
    <t xml:space="preserve">Annual report &gt; Tata Kelola Perusahaan &gt; Akses Informasi &gt; Siaran Pers 2025</t>
  </si>
  <si>
    <t xml:space="preserve">Character-education program for schools and international English certification for teachers in West Nusa Tenggara</t>
  </si>
  <si>
    <t xml:space="preserve">Program ini menjangkau 10 sekolah di Lombok dengan melibatkan 3.400 siswa, 150 guru, dan 390 orang tua melalui penguatan pendidikan karakter yang menekankan sinergi antara sekolah dan keluarga.</t>
  </si>
  <si>
    <t xml:space="preserve">The program reached 10 schools in Lombok, involving 3,400 students, 150 teachers and 390 parents, by strengthening character education that emphasizes synergy between school and family.</t>
  </si>
  <si>
    <t xml:space="preserve">Annual report &gt; Tanggung Jawab Sosial dan Lingkungan &gt; Pelaksanaan Program TJSL &gt; Pendidikan</t>
  </si>
  <si>
    <t xml:space="preserve">Scholarship program for students</t>
  </si>
  <si>
    <t xml:space="preserve">Sebagai bagian dari komitmen BNI dalam mendukung peningkatan akses dan keberlanjutan pendidikan, sepanjang tahun 2025 BNI menyalurkan program beasiswa kepada 786 penerima.</t>
  </si>
  <si>
    <t xml:space="preserve">As part of BNI's commitment to improving access to and continuity of education, during 2025 BNI provided scholarships to 786 recipients.</t>
  </si>
  <si>
    <t xml:space="preserve">Annual report &gt; Tanggung Jawab Sosial dan Lingkungan &gt; Pelaksanaan Program TJSL &gt; Beasiswa</t>
  </si>
  <si>
    <t xml:space="preserve">Building, renovating and equipping schools and educational institutions</t>
  </si>
  <si>
    <t xml:space="preserve">Pada tahun 2025, BNI berkontribusi dalam peningkatan kualitas pendidikan melalui penyaluran bantuan kepada 127 sekolah dan instansi pendidikan di berbagai wilayah kerja BNI, meliputi pembangunan dan renovasi gedung sekolah, ruang kelas, serta laboratorium, penyediaan sarana dan prasarana pendukung pembelajaran, alat peraga edukatif, dan taman baca.</t>
  </si>
  <si>
    <t xml:space="preserve">In 2025, BNI contributed to better education quality by providing assistance to 127 schools and educational institutions across its working areas, including building and renovating school buildings, classrooms and laboratories, and providing learning facilities, teaching aids and reading gardens.</t>
  </si>
  <si>
    <t xml:space="preserve">Annual report &gt; Tanggung Jawab Sosial dan Lingkungan &gt; Pelaksanaan Program TJSL &gt; Sarana Prasarana Pendidikan</t>
  </si>
  <si>
    <t xml:space="preserve">Total Social and Environmental Responsibility (TJSL) community spending</t>
  </si>
  <si>
    <t xml:space="preserve">Pada tahun 2025, total realisasi anggaran TJSL mencapai Rp1 16,82 miliar, naik/turun dari tahun sebelumnya sebesar Rp129,9 miliar, mencerminkan komitmen BNI dalam menciptakan dampak positif yang berkelanjutan.</t>
  </si>
  <si>
    <t xml:space="preserve">In 2025, total realized TJSL (CSR) spending reached Rp116.82 billion, up/down from the previous year's Rp129.9 billion, reflecting BNI's commitment to sustainable positive impact.</t>
  </si>
  <si>
    <t xml:space="preserve">Annual report &gt; Tata Kelola Perusahaan &gt; Penyediaan Dana untuk Kegiatan Sosial dan Politik</t>
  </si>
  <si>
    <t xml:space="preserve">Rumah BUMN centres providing training, coaching and licensing help to micro and small entrepreneurs</t>
  </si>
  <si>
    <t xml:space="preserve">Saat ini, BNI memiliki 23 Rumah BUMN yang merupakan tempat pengembangan usaha bagi lebih dari 6.908 pelaku UMK dan telah mendapatkan 507 kali pelatihan serta membantu mendapatkan izin legalitas sebanyak 5.512 perizinan (PIRT , NIB, Sertifikat Halal, BPOM).</t>
  </si>
  <si>
    <t xml:space="preserve">BNI currently has 23 Rumah BUMN, business development centres for more than 6,908 micro and small entrepreneurs, which have received 507 training sessions and help obtaining 5,512 legal permits (PIRT, NIB, Halal certificates, BPOM).</t>
  </si>
  <si>
    <t xml:space="preserve">Annual report &gt; Tanggung Jawab Sosial dan Lingkungan &gt; Pilar Ekonomi &gt; Dukungan untuk Pertumbuhan Ekonomi Masyarakat &gt; Rumah BUMN</t>
  </si>
  <si>
    <t xml:space="preserve">Employee volunteering program through the BNI Hi Movers community</t>
  </si>
  <si>
    <t xml:space="preserve">Pada tahun 2025, tingkat keterlibatan karyawan melalui komunitas BNI Hi Movers dalam Program Employee Volunteering mencapai 96% dari total pegawai BNI, yang mencerminkan tingginya partisipasi, kepedulian sosial, serta internalisasi nilai keberlanjutan sebagai bagian dari budaya perusahaan.</t>
  </si>
  <si>
    <t xml:space="preserve">In 2025, employee participation in the Employee Volunteering Program through the BNI Hi Movers community reached 96% of all BNI employees, reflecting high participation, social concern and internalized sustainability values.</t>
  </si>
  <si>
    <t xml:space="preserve">Annual report &gt; Tanggung Jawab Sosial dan Lingkungan &gt; Pelaksanaan Program TJSL &gt; Employee Volunteering Program</t>
  </si>
  <si>
    <t xml:space="preserve">Company-wide employee training through BNI Corporate University</t>
  </si>
  <si>
    <t xml:space="preserve">Sepanjang tahun 2025, BNI telah menyelenggarakan berbagai program pendidikan dan pelatihan yang diikuti oleh 26.937 pegawai atau setara dengan 99,96% dari total pegawai BNI.</t>
  </si>
  <si>
    <t xml:space="preserve">During 2025, BNI ran various education and training programs attended by 26,937 employees, or 99.96% of all BNI employees.</t>
  </si>
  <si>
    <t xml:space="preserve">Annual report &gt; Komitmen ESG &gt; Pengembangan Sumber Daya Manusia &gt; Praktik</t>
  </si>
  <si>
    <t xml:space="preserve">OCBC SeniorCare programme supporting seniors' health, wealth, literacy and lifestyle needs</t>
  </si>
  <si>
    <t xml:space="preserve">With over $2 million invested to support more than 180,000 seniors, the programme helps seniors manage their health, wealth, literacy and lifestyle needs with confidence.</t>
  </si>
  <si>
    <t xml:space="preserve">Annual report &gt; Group CEO statement &gt; Investing in People, Communities and Sustainability</t>
  </si>
  <si>
    <t xml:space="preserve">Coaching for Growth programme with ICF-trained internal coaches</t>
  </si>
  <si>
    <t xml:space="preserve">As of December 2025, our community of 52 ICF-trained coaches has inspired and guided more than 300 employees, empowering them to grow with confidence and unlock their fullest personal and professional potential.</t>
  </si>
  <si>
    <t xml:space="preserve">Annual report &gt; Our People &gt; Coaching</t>
  </si>
  <si>
    <t xml:space="preserve">AI, Digital and Data training for employees</t>
  </si>
  <si>
    <t xml:space="preserve">In the past three years, around three in five employees have participated in training programmes related to AI, Digital and Data.</t>
  </si>
  <si>
    <t xml:space="preserve">Annual report &gt; Tech Shift &gt; Workforce capabilities</t>
  </si>
  <si>
    <t xml:space="preserve">Cyber Certification Pathway 2.0 upskilling employees into cybersecurity roles</t>
  </si>
  <si>
    <t xml:space="preserve">Over 200 graduates from key markets including Singapore, Malaysia, Mainland China and Hong Kong have completed the programme</t>
  </si>
  <si>
    <t xml:space="preserve">Annual report &gt; 2025 Sustainability Highlights &gt; Conducting Our Business Responsibly</t>
  </si>
  <si>
    <t xml:space="preserve">'Life in a Snapshot' photography and storytelling programme for seniors with dementia, ending in a public artwork showcase</t>
  </si>
  <si>
    <t xml:space="preserve">OCBC volunteers delved into in-depth conversations with the seniors and continued to engage them over six months to hold a public showcase featuring artwork reflecting stories from their lives.</t>
  </si>
  <si>
    <t xml:space="preserve">Annual report &gt; Helping Where it Matters &gt; Hong Kong &gt; Life in a Snapshot</t>
  </si>
  <si>
    <t xml:space="preserve">Women Unlimited programme supporting women entrepreneurs across four markets</t>
  </si>
  <si>
    <t xml:space="preserve">Our Women Unlimited programme now extends across Singapore, Indonesia, Hong Kong and Malaysia, with a goal to support 10,000 women entrepreneurs by 2030.</t>
  </si>
  <si>
    <t xml:space="preserve">Annual report &gt; Group CEO statement &gt; SME programmes</t>
  </si>
  <si>
    <t xml:space="preserve">Serial Entrepreneur programme supporting founders of multiple small businesses</t>
  </si>
  <si>
    <t xml:space="preserve">The Serial Entrepreneur programme, which supports founders who own multiple small businesses, was also expanded in 2025 across our core markets.</t>
  </si>
  <si>
    <t xml:space="preserve">OCBC SME Start-ESG Programme giving SMEs grant-funded assessment, expert advice and loan access</t>
  </si>
  <si>
    <t xml:space="preserve">The Programme helps SMEs obtain a baseline measurement of their sustainability metrics with a grant from EnterpriseSG, expert advice on sustainability practices and access to sustainability-linked loans (SLLs) from OCBC.</t>
  </si>
  <si>
    <t xml:space="preserve">Annual report &gt; Global Commercial Banking &gt; Supporting SMEs</t>
  </si>
  <si>
    <t xml:space="preserve">Singpass authentication to ease cross-border business account opening</t>
  </si>
  <si>
    <t xml:space="preserve">To reduce friction for cross-border business formation, we became the first bank to enable Singpass authentication for Singaporeans opening business accounts in Malaysia.</t>
  </si>
  <si>
    <t xml:space="preserve">Annual report &gt; Global Commercial Banking &gt; Johor</t>
  </si>
  <si>
    <t xml:space="preserve">Dialect-speaking branch ambassadors for seniors and accessible app text resizing</t>
  </si>
  <si>
    <t xml:space="preserve">We introduced OCBC CARE Ambassadors in selected branches to assist seniors in familiar dialects and enhanced digital accessibility with smart text resizing on the OCBC mobile app.</t>
  </si>
  <si>
    <t xml:space="preserve">Pay-to-wallet remittance feature aimed at the unbanked and Singapore's foreign workforce</t>
  </si>
  <si>
    <t xml:space="preserve">Expanded the OCBC app’s pay-to-wallet feature to cover 10 leading digital wallets across Asia, improving remittance speed, cost and accessibility especially for the region’s unbanked population and Singapore’s foreign workforce</t>
  </si>
  <si>
    <t xml:space="preserve">Annual report &gt; 2025 Sustainability Highlights &gt; Bringing Impact to Communities</t>
  </si>
  <si>
    <t xml:space="preserve">cross_cultural: connecting_communities; community: community_investment</t>
  </si>
  <si>
    <t xml:space="preserve">OCBC-SDSC SwimTogether water safety programme for persons with disabilities, fully funded by OCBC</t>
  </si>
  <si>
    <t xml:space="preserve">Fully funded by OCBC, the programme supports 100 participants across 800 classes led by trained coaches and OCBC staff volunteers.</t>
  </si>
  <si>
    <t xml:space="preserve">Annual report &gt; Helping Where it Matters &gt; Singapore &gt; OCBC-SDSC SwimTogether Programme</t>
  </si>
  <si>
    <t xml:space="preserve">Employee volunteering program across markets</t>
  </si>
  <si>
    <t xml:space="preserve">17,681 Volunteers 82,182 Hours Contributed 616,521 Individuals Impacted</t>
  </si>
  <si>
    <t xml:space="preserve">Annual report &gt; Paying it Forward</t>
  </si>
  <si>
    <t xml:space="preserve">OCBC Ignite early talent programme for polytechnic students</t>
  </si>
  <si>
    <t xml:space="preserve">Since the launch of OCBC Ignite in 2024, we have welcomed more than 300 students across all 5 local polytechnics into the programme, further contributing to the goal of boosting participation of polytechnic graduates in the financial sector in Singapore.</t>
  </si>
  <si>
    <t xml:space="preserve">Annual report &gt; Our People &gt; Early talent pathways</t>
  </si>
  <si>
    <t xml:space="preserve">Five-year tuition programme for underprivileged children at The Hut Singapore</t>
  </si>
  <si>
    <t xml:space="preserve">A five year tuition programme was introduced for underprivileged children at The Hut Singapore, providing them with long-term, sustained academic support.</t>
  </si>
  <si>
    <t xml:space="preserve">Annual report &gt; Bringing Impact to Communities</t>
  </si>
  <si>
    <t xml:space="preserve">Ramadan food package distribution to families in need in Indonesia</t>
  </si>
  <si>
    <t xml:space="preserve">In celebration of OCBC Indonesia’s 84th anniversary and the month of Ramadan, the teams in Indonesia and OCBC Syariah distributed 1,000 food packages to families in need across Jakarta, Banten, and West Java.</t>
  </si>
  <si>
    <t xml:space="preserve">Annual report &gt; Helping Where it Matters &gt; Indonesia &gt; Ramadan Food Distribution</t>
  </si>
  <si>
    <t xml:space="preserve">Branch-funded medical equipment donation for rural communities in Malaysia</t>
  </si>
  <si>
    <t xml:space="preserve">Together with Klinik Kesihatan Bukit Pelandok in Port Dickson, the OCBC Seremban branch funded RM19,352 worth of essential medical equipment to strengthen healthcare services for rural communities.</t>
  </si>
  <si>
    <t xml:space="preserve">Annual report &gt; Helping Where it Matters &gt; Malaysia &gt; OCBC Seremban medical equipment donation</t>
  </si>
  <si>
    <t xml:space="preserve">DBS Foundation programmes and partnerships supporting vulnerable communities across six Asian markets</t>
  </si>
  <si>
    <t xml:space="preserve">In 2025, DBS Foundation’s programmes and partnerships to uplift the lives and livelihoods of vulnerable communities benefitted more than one million individuals across our six key markets in Asia.</t>
  </si>
  <si>
    <t xml:space="preserve">Annual report &gt; A driver of change for a better world &gt; Sustaining our impact on the community</t>
  </si>
  <si>
    <t xml:space="preserve">ESG Ready Programme helping SMEs build sustainability capabilities, expanded to Taiwan</t>
  </si>
  <si>
    <t xml:space="preserve">In addition, the ESG Ready Programme, which was earlier launched in partnership with Enterprise Singapore, garnered international recognition from the OECD as an exemplary use case.</t>
  </si>
  <si>
    <t xml:space="preserve">Annual report &gt; Our 2025 priorities &gt; Fortify trust</t>
  </si>
  <si>
    <t xml:space="preserve">Employee learning platform and courses</t>
  </si>
  <si>
    <t xml:space="preserve">Collectively, about 1.3 million training modules were completed in 2025.</t>
  </si>
  <si>
    <t xml:space="preserve">Annual report &gt; Corporate governance &gt; Compensation and Management Development Committee</t>
  </si>
  <si>
    <t xml:space="preserve">AI upskilling and reskilling of employees</t>
  </si>
  <si>
    <t xml:space="preserve">Beyond equipping all employees with new skills to use AI confidently and responsibly, we identified over 11,000 employees for deeper upskilling or reskilling in roles significantly transformed by AI.</t>
  </si>
  <si>
    <t xml:space="preserve">Annual report &gt; A driver of change for a better world &gt; Futureproofing our employees for the AI era</t>
  </si>
  <si>
    <t xml:space="preserve">Design thinking used for front-end applications</t>
  </si>
  <si>
    <t xml:space="preserve">We have also embraced design thinking to deliver customer-centric front-end applications.</t>
  </si>
  <si>
    <t xml:space="preserve">Annual report &gt; Who we are / Culture of innovation, nimbleness and agility</t>
  </si>
  <si>
    <t xml:space="preserve">Board Diversity Policy with female representation target</t>
  </si>
  <si>
    <t xml:space="preserve">With the appointment of Ms Tan Su Shan to the Board in 2025, the Board achieved the 30% female representation target ahead of the 2030 timeline.</t>
  </si>
  <si>
    <t xml:space="preserve">Annual report &gt; Corporate governance &gt; Board diversity</t>
  </si>
  <si>
    <t xml:space="preserve">Employee volunteer movement (People of Purpose) supporting communities</t>
  </si>
  <si>
    <t xml:space="preserve">Through our People of Purpose volunteer movement, DBS employees collectively contributed more than 300,000 hours to support communities across Asia.</t>
  </si>
  <si>
    <t xml:space="preserve">POSB Smart Buddy in-school savings and financial-habits programme run with the Ministry of Education</t>
  </si>
  <si>
    <t xml:space="preserve">POSB engaged 320,000 students across 335 schools in 2025, up from 230,000 students across 253 schools in 2024.</t>
  </si>
  <si>
    <t xml:space="preserve">Annual report &gt; POSB Highlights in 2025 &gt; POSB Smart Buddy Programme</t>
  </si>
  <si>
    <t xml:space="preserve">Bank accounts set up for migrant workers and foreign domestic workers with the Ministry of Manpower</t>
  </si>
  <si>
    <t xml:space="preserve">POSB remains the only bank to collaborate with the Ministry of Manpower to set up banking accounts for over 900,000 migrant workers and foreign domestic workers.</t>
  </si>
  <si>
    <t xml:space="preserve">Annual report &gt; POSB Highlights in 2025 &gt; For seniors, special needs individuals and migrant workers</t>
  </si>
  <si>
    <t xml:space="preserve">community: external_education; cross_cultural: customer_access</t>
  </si>
  <si>
    <t xml:space="preserve">Migrant-worker ambassadors trained to run digital literacy workshops for fellow migrant workers</t>
  </si>
  <si>
    <t xml:space="preserve">To enhance our engagement, we partnered with the Migrant Workers’ Centre and Centre for Domestic Employees to train more than 450 migrant and foreign domestic workers to serve as ambassadors assisting in conducting digital literacy workshops for more than 9,000 migrant workers.</t>
  </si>
  <si>
    <t xml:space="preserve">Regular financial literacy workshops for children and people with special needs, with SPED schools and social service agencies</t>
  </si>
  <si>
    <t xml:space="preserve">We partnered community partners, SPED schools and social service agencies to organise regular financial literacy workshops for kids and those with special needs.</t>
  </si>
  <si>
    <t xml:space="preserve">POSB PAssion Run for Kids charity race raising funds for children's programmes</t>
  </si>
  <si>
    <t xml:space="preserve">The event raised some SGD 1.15 million for the POSB PAssion Kids Fund this year.</t>
  </si>
  <si>
    <t xml:space="preserve">Annual report &gt; POSB Highlights in 2025 &gt; POSB PAssion Run for Kids</t>
  </si>
  <si>
    <t xml:space="preserve">DBS Foundation contribution to IMDA's Digital for Life digital-inclusion movement</t>
  </si>
  <si>
    <t xml:space="preserve">Through a renewed DBS Foundation collaboration with the Infocomm Media Development Authority (IMDA) which started in 2025, we contributed SGD 3 million, which includes the government’s dollar-for-dollar matching, to the Digital for Life movement.</t>
  </si>
  <si>
    <t xml:space="preserve">Annual report &gt; POSB Highlights in 2025 &gt; Neighbours first, bankers second</t>
  </si>
  <si>
    <t xml:space="preserve">Impact Beyond Award grants to impact businesses tackling ageing needs</t>
  </si>
  <si>
    <t xml:space="preserve">We awarded SGD 3 million to four winners of our inaugural Impact Beyond Award to scale their solutions.</t>
  </si>
  <si>
    <t xml:space="preserve">Annual report &gt; A driver of change for a better world &gt; Redefining narratives around ageing in Asia</t>
  </si>
  <si>
    <t xml:space="preserve">Runs the UOB Painting of the Year and UOB Art in Ink Awards, regional art competitions recognising artists</t>
  </si>
  <si>
    <t xml:space="preserve">Now in its 44th year, UOB POY remains Singapore’s longest running and one of Southeast Asia’s most prestigious art competitions, held across Singapore, Indonesia, Malaysia, Thailand and Vietnam, while AIIA celebrates the versatility of ink art in China and Hong Kong.</t>
  </si>
  <si>
    <t xml:space="preserve">Annual report &gt; Doing Right by Our Communities &gt; Art: Championing Southeast Asian Art and Ink Art</t>
  </si>
  <si>
    <t xml:space="preserve">Employee volunteering across the Group</t>
  </si>
  <si>
    <t xml:space="preserve">More than 90,000 volunteering hours contributed by our employees across the Group in 2025</t>
  </si>
  <si>
    <t xml:space="preserve">Annual report &gt; Doing Right by Our Communities &gt; Our 2025 achievements</t>
  </si>
  <si>
    <t xml:space="preserve">Better U learning and development programme upskilling employees</t>
  </si>
  <si>
    <t xml:space="preserve">Through our Better U learning and development programme, more than 26,000 colleagues have been upskilled since 2019.</t>
  </si>
  <si>
    <t xml:space="preserve">Annual report &gt; Enabling Our People to Build Long-term Careers &gt; Celebrating UOB90 at the Better U Festival</t>
  </si>
  <si>
    <t xml:space="preserve">Innovation Academy training employees in AI</t>
  </si>
  <si>
    <t xml:space="preserve">Our Innovation Academy trains more than 31,000 colleagues in AI across ASEAN.</t>
  </si>
  <si>
    <t xml:space="preserve">Annual report &gt; Deputy Chairman and CEO’s Report &gt; People and culture — developing future ready talent</t>
  </si>
  <si>
    <t xml:space="preserve">Gender composition of senior management disclosed</t>
  </si>
  <si>
    <t xml:space="preserve">38% of senior management are women</t>
  </si>
  <si>
    <t xml:space="preserve">Annual report &gt; Sustainability Highlights &gt; 2025 snapshot</t>
  </si>
  <si>
    <t xml:space="preserve">Sustainability Innovation Programme engaging SMEs across ASEAN</t>
  </si>
  <si>
    <t xml:space="preserve">&gt;1,500 SMEs engaged across ASEAN through the Sustainability Innovation Programme, since launch to date</t>
  </si>
  <si>
    <t xml:space="preserve">Bank matched revenue earned by social enterprises at the Heartbeat Run carnival</t>
  </si>
  <si>
    <t xml:space="preserve">The Bank matched the revenue received by social enterprises at the carnival event.</t>
  </si>
  <si>
    <t xml:space="preserve">Annual report &gt; Doing Right by Our Communities &gt; 2025 UOB Heartbeat Run</t>
  </si>
  <si>
    <t xml:space="preserve">Lending to SMEs for sustainable business practices</t>
  </si>
  <si>
    <t xml:space="preserve">$7.8 billion extended in loans to help SMEs accelerate sustainable business practices</t>
  </si>
  <si>
    <t xml:space="preserve">UOB Artist Alumni Network for award-winning artists, offering mentorship, exhibitions and sponsored international residencies</t>
  </si>
  <si>
    <t xml:space="preserve">In Singapore, UOB launched the UOB Artist Alumni Network to support the long-term development of UOB POY and AIIA award winners by fostering collaboration, mentorship and cross-cultural exchange among members of the Network.</t>
  </si>
  <si>
    <t xml:space="preserve">Commissioned local talents to create a projection mapping show featuring Singapore artists' work</t>
  </si>
  <si>
    <t xml:space="preserve">To mark UOB’s 90th anniversary and Singapore’s 60th National Day in August, a series of projections were developed and created by local talents to celebrate Singapore’s journey, UOB’s legacy and the spirit of innovation and resilience that binds us.</t>
  </si>
  <si>
    <t xml:space="preserve">Annual report &gt; About the cover</t>
  </si>
  <si>
    <t xml:space="preserve">Presenting sponsor of the i Light Singapore light-art festival</t>
  </si>
  <si>
    <t xml:space="preserve">UOB was the presenting sponsor of i Light Singapore, Asia's leading light festival.</t>
  </si>
  <si>
    <t xml:space="preserve">Annual report &gt; Celebrating 90 Years Together &gt; Uniting communities through shared dreams for Singapore’s future</t>
  </si>
  <si>
    <t xml:space="preserve">UOB My Digital Space, a flagship regional program giving disadvantaged students digital tools and education workshops</t>
  </si>
  <si>
    <t xml:space="preserve">Since its launch in 2020, UOB MDS has reached more than 50,000 beneficiaries across seven markets through digital education workshops.</t>
  </si>
  <si>
    <t xml:space="preserve">Annual report &gt; Doing Right by Our Communities &gt; Children: Developing the young to their full potential</t>
  </si>
  <si>
    <t xml:space="preserve">Pledged gift with the Wee Foundation to NTU for financial aid, community tutoring and new modules</t>
  </si>
  <si>
    <t xml:space="preserve">UOB and the Wee Foundation pledged a combined gift of $110 million to Nanyang Technological University, Singapore (NTU Singapore) to support new educational initiatives.</t>
  </si>
  <si>
    <t xml:space="preserve">Annual report &gt; Doing Right by Our Communities &gt; Education: Laying the foundation for the future</t>
  </si>
  <si>
    <t xml:space="preserve">Funding of pocket money for low-income students through The Straits Times School Pocket Money Fund</t>
  </si>
  <si>
    <t xml:space="preserve">About 11,000 students from low-income families received 90 days of pocket money to help them with school-related expenses such as buying meals, paying for transport or other schooling activities.</t>
  </si>
  <si>
    <t xml:space="preserve">Annual report &gt; Celebrating 90 Years Together &gt; Alleviating costs for disadvantaged families</t>
  </si>
  <si>
    <t xml:space="preserve">UOB FutureGen Scholarship Programme providing pre-tertiary scholarships to regional students</t>
  </si>
  <si>
    <t xml:space="preserve">The UOB FutureGen Scholarship Programme provides pre-tertiary scholarships to 90 students from the region to study in Singapore, starting with 30 students in 2025.</t>
  </si>
  <si>
    <t xml:space="preserve">Annual report &gt; Celebrating 90 Years Together &gt; Investing in tomorrow</t>
  </si>
  <si>
    <t xml:space="preserve">Annual UOB Heartbeat Run charity event raising funds for children's charities</t>
  </si>
  <si>
    <t xml:space="preserve">The 19th UOB Heartbeat Run, held in conjunction with UOB’s 90th anniversary, brought together over 24,000 participants across 18 markets and raised more than $3.1 million for 25 charities globally, supporting disadvantaged children and families.</t>
  </si>
  <si>
    <t xml:space="preserve">SGX Cares Bull Charge, an annual fundraising programme (Charity Run, Charity Futsal) supporting underprivileged children and families, persons with disabilities and seniors</t>
  </si>
  <si>
    <t xml:space="preserve">Over two decades, SGX Group has raised more than $52 million through SGX Cares Bull Charge, bringing together the financial community, Singapore-listed companies, business and technology partners to support the needs of underprivileged children and families, persons with disabilities and seniors.</t>
  </si>
  <si>
    <t xml:space="preserve">Annual report &gt; Value Creation &amp; Sustainability &gt; Corporate Social Responsibility &gt; Bull Charge</t>
  </si>
  <si>
    <t xml:space="preserve">Planned support for emerging listed companies via research, investor engagement and liquidity provision</t>
  </si>
  <si>
    <t xml:space="preserve">Key initiatives include supporting emerging companies through targeted research, investor engagement and liquidity provision, with the goal of expanding the pool of index-eligible firms and strengthening SGX’s role as a premier capital raising venue for companies at different stages of growth.</t>
  </si>
  <si>
    <t xml:space="preserve">Annual report &gt; Value Creation &amp; Sustainability &gt; Strategic Priorities &gt; Equities – Cash</t>
  </si>
  <si>
    <t xml:space="preserve">SGX Academy financial literacy and investor education programmes, run with local tertiary institutions</t>
  </si>
  <si>
    <t xml:space="preserve">Over the past year, SGX Academy hosted over 170 events in financial literacy and investor education, reaching more than 22,000 participants – many of whom were young and first-time investors.</t>
  </si>
  <si>
    <t xml:space="preserve">Annual report &gt; Value Creation &amp; Sustainability &gt; Corporate Social Responsibility &gt; Financial Literacy</t>
  </si>
  <si>
    <t xml:space="preserve">One-day experiential capital-markets programme for 17- to 19-year-old students (SGX Capital Markets Conversations for You(th))</t>
  </si>
  <si>
    <t xml:space="preserve">Over 300 attendees gained insights into the diversity and dynamism of capital markets and how it shapes their daily lives.</t>
  </si>
  <si>
    <t xml:space="preserve">community: community_investment; cross_cultural: connecting_communities</t>
  </si>
  <si>
    <t xml:space="preserve">Employee volunteering and outreach with supported beneficiaries, including the Autism Association (Singapore)</t>
  </si>
  <si>
    <t xml:space="preserve">Throughout the year, SGX Group organised outreach activities to engage our supported beneficiaries: Autism Association (Singapore), AWWA Limited, Fei Yue Community Services and HCSA Community Services.</t>
  </si>
  <si>
    <t xml:space="preserve">Annual report &gt; Value Creation &amp; Sustainability &gt; Corporate Social Responsibility &gt; Outreach</t>
  </si>
  <si>
    <t xml:space="preserve">Team-level engagement with dementia and adult disability centre beneficiaries ("Embracing Communities")</t>
  </si>
  <si>
    <t xml:space="preserve">Through “Embracing Communities”, the Operations and Technology team connected with beneficiaries, joining them for karaoke and crafting at AWWA Dementia Day Care Centre and shopped for grocery essentials with seniors from the Adult Disability Centre.</t>
  </si>
  <si>
    <t xml:space="preserve">Board search practice requiring external search firms to prioritise diversity, especially gender diversity</t>
  </si>
  <si>
    <t xml:space="preserve">External search firms that are engaged, are instructed that diversity is a key criterion in the search and in particular, gender diversity.</t>
  </si>
  <si>
    <t xml:space="preserve">Annual report &gt; Governance &gt; Corporate Governance Report &gt; Board Diversity</t>
  </si>
  <si>
    <t xml:space="preserve">Disclosure of female board representation against target</t>
  </si>
  <si>
    <t xml:space="preserve">Since FY2023, SGX has reached its target goal in achieving 30% representation of female directors on the Board.</t>
  </si>
  <si>
    <t xml:space="preserve">Annual report &gt; Governance &gt; Corporate Governance Report &gt; Diversity Targets and Progress in FY2025</t>
  </si>
  <si>
    <t xml:space="preserve">Employee training programmes</t>
  </si>
  <si>
    <t xml:space="preserve">Average training hours per employee at 49 hours for SGX and 42 hours for SGX Group</t>
  </si>
  <si>
    <t xml:space="preserve">Annual report &gt; Value Creation &amp; Sustainability &gt; Key Highlights of Our Performance and Targets &gt; Employment practices and employee development</t>
  </si>
  <si>
    <t xml:space="preserve">Volunteer-run craft and design workshops with seniors and youths</t>
  </si>
  <si>
    <t xml:space="preserve">Various craft and design workshops were run with seniors and youths, along with enhancing financial literacy through board games and many more.</t>
  </si>
  <si>
    <t xml:space="preserve">Artiste management and live-event business at major associate PCCW (ViuTV), promoting artistes' solo performances</t>
  </si>
  <si>
    <t xml:space="preserve">In 2025, PCCW’s artiste management and event business focused on promoting the solo performances of select artistes to amplify their appeal and maximise their potential.</t>
  </si>
  <si>
    <t xml:space="preserve">Annual report &gt; ViuTV – Nurturing talent and elevating the impact of its integrated entertainment ecosystem</t>
  </si>
  <si>
    <t xml:space="preserve">Staff volunteering in the community at major associate PCCW</t>
  </si>
  <si>
    <t xml:space="preserve">4,147 total volunteering hours</t>
  </si>
  <si>
    <t xml:space="preserve">Annual report &gt; Sustainability Report &gt; Social &gt; Corporate Social Responsibility &gt; PCCW's Shared Societal Value 2025 performance highlights</t>
  </si>
  <si>
    <t xml:space="preserve">Digital literacy outreach sessions for the public run by major associate PCCW</t>
  </si>
  <si>
    <t xml:space="preserve">Delivered 85 digital literacy outreach sessions</t>
  </si>
  <si>
    <t xml:space="preserve">Support for 5G weather stations in schools by major associate PCCW</t>
  </si>
  <si>
    <t xml:space="preserve">Provided support to 5G Weather Stations in 13 schools across Hong Kong and Macau</t>
  </si>
  <si>
    <t xml:space="preserve">Annual report &gt; Sustainability Report &gt; PCCW's Enhance Environmental Stewardship 2025 performance highlights</t>
  </si>
  <si>
    <t xml:space="preserve">Continuing professional education and e-learning courses for PCRD's own directors and staff</t>
  </si>
  <si>
    <t xml:space="preserve">All employees with professional memberships attended relevant continuing professional education courses.</t>
  </si>
  <si>
    <t xml:space="preserve">Annual report &gt; Sustainability Report &gt; Social &gt; Employees, Training and Development &gt; Performance</t>
  </si>
  <si>
    <t xml:space="preserve">Disclosure of PCRD workforce gender ratio and women in management</t>
  </si>
  <si>
    <t xml:space="preserve">Diversity in terms of the ratio of female to male staff is 1.5:1 with 33% of management roles held by female staff.</t>
  </si>
  <si>
    <t xml:space="preserve">Long-running donations and social activities for a rural primary school</t>
  </si>
  <si>
    <t xml:space="preserve">YANTIAN donated necessities to, and organised social activities for, Y unnan Hope Primary School for the 22nd consecutive year.</t>
  </si>
  <si>
    <t xml:space="preserve">Annual report &gt; Sustainability Report &gt; Responsible Business &gt; Community Engagement</t>
  </si>
  <si>
    <t xml:space="preserve">Inclusive recruitment of interns with disabilities and from ethnic minority backgrounds</t>
  </si>
  <si>
    <t xml:space="preserve">During summer 2025, HIT successfully engaged seven CareER interns and recruited an intern from an ethnic minority background through another non-profit organisation.</t>
  </si>
  <si>
    <t xml:space="preserve">Annual report &gt; Sustainability Report &gt; Our People &gt; Diversity and Inclusion</t>
  </si>
  <si>
    <t xml:space="preserve">Youth education support through sponsored educational programmes and scholarships</t>
  </si>
  <si>
    <t xml:space="preserve">In support of youth education, the T rust continues to support academic excellence through various channels, including sponsoring educational programmes, awarding scholarships and donating daily necessities.</t>
  </si>
  <si>
    <t xml:space="preserve">Summer placements for local students across HIT functions</t>
  </si>
  <si>
    <t xml:space="preserve">This summer, 10 local students were offered placement opportunities to gain first-hand experience across various HIT functions.</t>
  </si>
  <si>
    <t xml:space="preserve">Sponsorship of a seafarers' welfare facility run by a maritime charity</t>
  </si>
  <si>
    <t xml:space="preserve">HIT made HK$250,000 sponsorship to The Mariners, the new establishment of the Sailors Home &amp; Mission to Seafarers, an organisation dedicated to supporting the wellbeing of seafarers.</t>
  </si>
  <si>
    <t xml:space="preserve">Annual report &gt; Sustainability Report &gt; Responsible Business &gt; Community Engagement &gt; Case Study: The Mariners</t>
  </si>
  <si>
    <t xml:space="preserve">Volunteer programmes and festive celebrations for elderly people</t>
  </si>
  <si>
    <t xml:space="preserve">The T rust hosted a range of creative programmes and festive celebrations for the elderly to help combat social isolation and loneliness, while enhancing their overall wellbeing.</t>
  </si>
  <si>
    <t xml:space="preserve">Sustainability and decarbonisation workshop for key suppliers</t>
  </si>
  <si>
    <t xml:space="preserve">96 key suppliers attended the workshop onsite on 15 July, gaining a better understanding of their own decarbonisation goals and learning about the decarbonisation ambitions of Hutchison Ports and its group companies.</t>
  </si>
  <si>
    <t xml:space="preserve">Annual report &gt; Sustainability Report &gt; Supply Chain Management &gt; Case Study: Supplier Training on Sustainability</t>
  </si>
  <si>
    <t xml:space="preserve">Named talent development programme for employees</t>
  </si>
  <si>
    <t xml:space="preserve">YANTIAN upgraded the Commercial T rainee Programme and launched Relay 2030, a 22-month T alent Development Programme, selecting 20 participants from various departments.</t>
  </si>
  <si>
    <t xml:space="preserve">Annual report &gt; Sustainability Report &gt; Our People &gt; Knowledge Empowerment &gt; Case Study: Talent Development at YANTIAN</t>
  </si>
  <si>
    <t xml:space="preserve">Gold sponsorship of and employee participation in a disability-inclusion fundraising run</t>
  </si>
  <si>
    <t xml:space="preserve">As a Gold Sponsor of the 2025 CareER RunnERthon, 100 employees from HPH T rust and Hutchison Ports Hong Kong offices formed 20 teams to participate in the event, while another 45 employees in 9 teams joined the activity internally.</t>
  </si>
  <si>
    <t xml:space="preserve">Annual report &gt; Sustainability Report &gt; Our People &gt; Diversity and Inclusion &gt; Case Study: HIT Champions Disability Inclusion through CareER Initiatives</t>
  </si>
  <si>
    <t xml:space="preserve">Participation in an external disability inclusion index to review and track the inclusion roadmap</t>
  </si>
  <si>
    <t xml:space="preserve">Additionally, HIT participated in the CareER Disability Inclusion Index, allowing the company to strategically review its disability inclusion roadmap and regularly track performance.</t>
  </si>
  <si>
    <t xml:space="preserve">Singapore Airlines Foundation runs two flagship youth programmes (Youth Uplift and Youth Outreach) with traineeships, workshops and staff mentors for students</t>
  </si>
  <si>
    <t xml:space="preserve">The Foundation manages two flagship initiatives, the Youth Uplift Programme and the Youth Outreach Programme, which benefit more than 100 youths each year.</t>
  </si>
  <si>
    <t xml:space="preserve">Annual report &gt; The Singapore Airlines Foundation</t>
  </si>
  <si>
    <t xml:space="preserve">Board gender composition disclosure under Board Diversity policy</t>
  </si>
  <si>
    <t xml:space="preserve">As part of its diversity initiatives, the Board has two female Directors, one of whom is on the Nominating Committee.</t>
  </si>
  <si>
    <t xml:space="preserve">Annual report &gt; Corporate Governance Report &gt; Board Diversity Policy</t>
  </si>
  <si>
    <t xml:space="preserve">KrisWorld in-flight entertainment licenses content from studio and media partners</t>
  </si>
  <si>
    <t xml:space="preserve">During the year, SIA added BBC and Paramount+ to KrisWorld’s existing suite of content partners, which includes Apple TV, CNA, HBO Max, and iQIYI, offering customers a wider selection of popular and recently-released titles.</t>
  </si>
  <si>
    <t xml:space="preserve">Annual report &gt; Product Innovation &gt; Enhancing KrisWorld Through Branded Content Partnerships</t>
  </si>
  <si>
    <t xml:space="preserve">Curated KrisWorld content category showcasing Singapore films, music and arts for SG60</t>
  </si>
  <si>
    <t xml:space="preserve">Complementing the culinary experience, KrisWorld curated a dedicated Celebrating Singapore content category from April to December 2025, featuring films, documentaries, music, and short-form content spotlighting Singapore’s history, arts, and culture, allowing customers to engage more deeply with the nation’s heritage.</t>
  </si>
  <si>
    <t xml:space="preserve">Annual report &gt; Customer Experience &gt; Celebrating with Singapore</t>
  </si>
  <si>
    <t xml:space="preserve">Foundation's Youth Outreach Programme prioritises students from disadvantaged families and underserved communities</t>
  </si>
  <si>
    <t xml:space="preserve">In FY2025/26, the Foundation enhanced the programme's accessibility by prioritising students from disadvantaged families, underserved communities, and youths at risk.</t>
  </si>
  <si>
    <t xml:space="preserve">Annual report &gt; The Singapore Airlines Foundation &gt; Youth Outreach Programme</t>
  </si>
  <si>
    <t xml:space="preserve">SG60 SIA Cares 2025 fundraising campaign for children and youth with disabilities and developmental needs</t>
  </si>
  <si>
    <t xml:space="preserve">As part of Singapore’s SG60 celebrations, the SG60 SIA Cares 2025 fundraising campaign raised $3 million for more than 1,600 children and youth with disabilities and developmental needs across Singapore.</t>
  </si>
  <si>
    <t xml:space="preserve">Annual report &gt; Chairman's Letter to Shareholders &gt; Decarbonisation and Community Impact</t>
  </si>
  <si>
    <t xml:space="preserve">Airbus Asia Training Centre (45% associate) student outreach programmes with CAAS and Women in Aviation Singapore</t>
  </si>
  <si>
    <t xml:space="preserve">AATC also expanded its social impact through 15 corporate social responsibility student outreach programmes in collaboration with key partners, including the Civil Aviation Authority of Singapore (CAAS) and Women in Aviation, Singapore Chapter (WAI-SG).</t>
  </si>
  <si>
    <t xml:space="preserve">Annual report &gt; Airbus Asia Training Centre</t>
  </si>
  <si>
    <t xml:space="preserve">Cabin Crew Flying Internship Programme with local polytechnics and ITE colleges</t>
  </si>
  <si>
    <t xml:space="preserve">For example, the Cabin Crew Flying Internship Programme continues to be a successful initiative with local polytechnics and Institute of Technical Education colleges.</t>
  </si>
  <si>
    <t xml:space="preserve">Annual report &gt; People Development &gt; Opportunities to Learn and Grow &gt; Attracting Talent</t>
  </si>
  <si>
    <t xml:space="preserve">Comprehensive operations, service and safety training for cabin crew and pilots</t>
  </si>
  <si>
    <t xml:space="preserve">Cabin crew and pilots receive comprehensive training in operations, service excellence and safety, supported by clear career progression pathways.</t>
  </si>
  <si>
    <t xml:space="preserve">Annual report &gt; People Development &gt; Opportunities to Learn and Grow &gt; Developing Careers</t>
  </si>
  <si>
    <t xml:space="preserve">Mentorship programme pairing new managers and VPs with senior management</t>
  </si>
  <si>
    <t xml:space="preserve">SIA’s mentorship programme pairs newly promoted or hired managers and Vice Presidents with members of Senior Management.</t>
  </si>
  <si>
    <t xml:space="preserve">Annual report &gt; People Development &gt; Mentorship Programme for New Managers</t>
  </si>
  <si>
    <t xml:space="preserve">Staff volunteering at a non-profit wildlife rescue and rehabilitation centre</t>
  </si>
  <si>
    <t xml:space="preserve">In collaboration with Animal Concerns Research and Education Society, a non-profit organisation in Singapore, close to 100 staff also volunteered at the wildlife rescue and rehabilitation centre to learn about the importance of human-wildlife co-existence and combatting the illegal wildlife trade.</t>
  </si>
  <si>
    <t xml:space="preserve">Annual report &gt; Sustainability &gt; Supporting Wildlife Protection</t>
  </si>
  <si>
    <t xml:space="preserve">SOAR as One service curriculum refreshed to train staff on diverse customer needs across seven customer personas</t>
  </si>
  <si>
    <t xml:space="preserve">To deliver a more consistent and assuring customer experience, SIA refreshed its SOAR as One programme to make it more inclusive and relevant across customer touchpoints.</t>
  </si>
  <si>
    <t xml:space="preserve">Annual report &gt; People Development &gt; Driving Commercial, Operational, and Service Excellence</t>
  </si>
  <si>
    <t xml:space="preserve">Refreshed airport lounges to include interior design elements from local artists and students</t>
  </si>
  <si>
    <t xml:space="preserve">The refreshed lounges will feature private pods, dining service and travel-friendly amenities, alongside a curated showcase of Singapore hawker dishes and interior design elements from local artists and students.</t>
  </si>
  <si>
    <t xml:space="preserve">Annual report &gt; Infrastructure Investments &gt; Passenger-facing infrastructure</t>
  </si>
  <si>
    <t xml:space="preserve">Scholarships and financial assistance for students through partnerships with educational institutions</t>
  </si>
  <si>
    <t xml:space="preserve">We also partnered with three educational institutions to provide scholarships and financial assistance to students pursuing their academic goals.</t>
  </si>
  <si>
    <t xml:space="preserve">Annual report &gt; Caring for Our Communities &gt; Empowering Community</t>
  </si>
  <si>
    <t xml:space="preserve">SATS Foundation Education Awards bursaries for employees' children and young people</t>
  </si>
  <si>
    <t xml:space="preserve">The SATS Foundation Education Awards honour the dedication of our employees by supporting the aspirations of their children and young people across our community.</t>
  </si>
  <si>
    <t xml:space="preserve">Annual report &gt; Caring for Our Communities, Empowering Futures</t>
  </si>
  <si>
    <t xml:space="preserve">AISATS water purification systems improving safe drinking water access in remote areas of India</t>
  </si>
  <si>
    <t xml:space="preserve">AISATS partnered with cross-sector partners on an initiative in India to deploy advanced water purification systems at Indian Army forward locations, improving access to safe drinking water for personnel and communities in some of the country’s most remote and demanding operating conditions.</t>
  </si>
  <si>
    <t xml:space="preserve">Annual report &gt; Caring for Our Communities &gt; India</t>
  </si>
  <si>
    <t xml:space="preserve">Built to Lead flagship leadership programme for people managers</t>
  </si>
  <si>
    <t xml:space="preserve">Our flagship programme, Built to Lead (BTL), serves as the foundational leadership programme for people managers.</t>
  </si>
  <si>
    <t xml:space="preserve">Annual report &gt; Corporate Governance Report &gt; Leadership development</t>
  </si>
  <si>
    <t xml:space="preserve">ELEVATE global mobility programme of short-term international assignments for high-potential staff</t>
  </si>
  <si>
    <t xml:space="preserve">Under ELEVATE, selected high-potential employees undertake short-term international assignments with specific business projects and objectives.</t>
  </si>
  <si>
    <t xml:space="preserve">Group-wide Workplace Inclusion eLearning programme</t>
  </si>
  <si>
    <t xml:space="preserve">In FY2026, we launched a group-wide Workplace Inclusion eLearning programme to establish a common baseline of inclusive practices, achieving a 95% completion rate across our global workforce.</t>
  </si>
  <si>
    <t xml:space="preserve">Annual report &gt; People &gt; Building a Global Culture as OneSATS</t>
  </si>
  <si>
    <t xml:space="preserve">SATS Network of WoMen, a regional employee network piloted in selected EMEA markets</t>
  </si>
  <si>
    <t xml:space="preserve">In EMEA, we also introduced the SATS Network of WoMen, a regional initiative across all genders to foster personal empowerment, professional development and community building.</t>
  </si>
  <si>
    <t xml:space="preserve">Board ethnicity statistics</t>
  </si>
  <si>
    <t xml:space="preserve">Seven out of 10 Directors (70%) are of Asian ethnicity, while three Directors (30%) are of Caucasian descent.</t>
  </si>
  <si>
    <t xml:space="preserve">Annual report &gt; Corporate Governance Report &gt; Board Diversity Targets, Timelines and Progress &gt; Ethnicity</t>
  </si>
  <si>
    <t xml:space="preserve">SG Hub innovation centre trialling autonomous vehicles and new operating concepts</t>
  </si>
  <si>
    <t xml:space="preserve">SG Hub serves as our innovation and system design centre, where new operating concepts are validated in live operations before scaling across the network.</t>
  </si>
  <si>
    <t xml:space="preserve">Annual report &gt; SG Hub</t>
  </si>
  <si>
    <t xml:space="preserve">Culinary and product innovation teams and chefs develop menus for inflight and food services</t>
  </si>
  <si>
    <t xml:space="preserve">Our culinary and product innovation teams translate menu concepts into meals that can be produced consistently across markets, while our community of chefs across the network brings cultural depth and diversity to the offering.</t>
  </si>
  <si>
    <t xml:space="preserve">Annual report &gt; Synergistic Growth Through Non-Aviation</t>
  </si>
  <si>
    <t xml:space="preserve">SATS Foundation funds registered charity programmes in Singapore, mainly food security</t>
  </si>
  <si>
    <t xml:space="preserve">SATS Foundation supported more than 22 IPC-registered programmes in Singapore during the year, with a significant proportion directed towards food security initiatives.</t>
  </si>
  <si>
    <t xml:space="preserve">Annual report &gt; Caring for Our Communities &gt; Caring for Community</t>
  </si>
  <si>
    <t xml:space="preserve">Employee volunteering through SATS Foundation programmes</t>
  </si>
  <si>
    <t xml:space="preserve">Employee volunteerism remained strong, with approximately 900 volunteer hours recorded in FY2026, of which 76% supported food security programmes, followed by initiatives benefitting the elderly and youth.</t>
  </si>
  <si>
    <t xml:space="preserve">AISATS Morning Nutrition Programme providing daily nutrition to rural government school children</t>
  </si>
  <si>
    <t xml:space="preserve">The Morning Nutrition Programme reached 35,000 government school children across rural Karnataka with daily fortified nutrition and milk, improving attendance and classroom engagement.</t>
  </si>
  <si>
    <t xml:space="preserve">AISATS Family Strengthening programmes for vulnerable children</t>
  </si>
  <si>
    <t xml:space="preserve">Family Strengthening programmes supported 202 vulnerable children across Alibaug, Hyderabad and Bengaluru through integrated interventions covering health, nutrition and livelihood stability.</t>
  </si>
  <si>
    <t xml:space="preserve">AISATS support for girls to continue primary education</t>
  </si>
  <si>
    <t xml:space="preserve">In India, AISATS supported 80 girls in higher primary education, providing resources to reduce dropout rates and encourage continued schooling.</t>
  </si>
  <si>
    <t xml:space="preserve">AISATS support for children with disabilities through therapy, assistive devices and caregiver training</t>
  </si>
  <si>
    <t xml:space="preserve">The organisation also extended support to 90 children with hearing, sight and other disabilities, enabling access to therapy, assistive devices and specialised caregiver training to promote independence and inclusion.</t>
  </si>
  <si>
    <t xml:space="preserve">Youth Outreach Programme with Singapore Airlines introducing students to aviation careers</t>
  </si>
  <si>
    <t xml:space="preserve">Through a collaboration with Singapore Airlines, we co-organised a Youth Outreach Programme conducted twice annually, introducing students to the aviation ecosystem and exposing them to career pathways across ground handling, food solutions and airport operations.</t>
  </si>
  <si>
    <t xml:space="preserve">Annual report &gt; Caring for Our Communities &gt; Youth Outreach Programme</t>
  </si>
  <si>
    <t xml:space="preserve">Social investment spending, including grants disbursed through the company's philanthropic arm, Keppel Care Foundation</t>
  </si>
  <si>
    <t xml:space="preserve">In 2025, Keppel invested about $4.2 million in social investment spending and industry advancement, including about $2.5 million disbursed in Singapore through Keppel Care Foundation, the Company’s philanthropic arm.</t>
  </si>
  <si>
    <t xml:space="preserve">Annual report &gt; Sustainability Framework &gt; People and Community</t>
  </si>
  <si>
    <t xml:space="preserve">Employee volunteering programme (Keppel Volunteers) providing community service worldwide</t>
  </si>
  <si>
    <t xml:space="preserve">Keppel Volunteers around the world also contributed more than 11,800 hours of community service in 2025.</t>
  </si>
  <si>
    <t xml:space="preserve">Long-standing sponsorship of the SIAS Investor Education Programme, funding free memberships for retail shareholders</t>
  </si>
  <si>
    <t xml:space="preserve">As a longstanding sponsor of the SIAS Investor Education Programme, Keppel’s continued support enables more than 2,800 retail shareholders to benefit from complimentary SIAS memberships each year.</t>
  </si>
  <si>
    <t xml:space="preserve">Annual report &gt; Investor Relations</t>
  </si>
  <si>
    <t xml:space="preserve">Board mentorship, executive education and executive coaching for senior leaders</t>
  </si>
  <si>
    <t xml:space="preserve">In addition, Keppel offered executive education and executive coaching to senior leaders to support their development, as part of continuing efforts to deepen and widen its bench strength.</t>
  </si>
  <si>
    <t xml:space="preserve">Annual report &gt; Corporate Governance &gt; Board Succession Planning</t>
  </si>
  <si>
    <t xml:space="preserve">Board Diversity Policy with annual assessment of board diversity, including gender, age, race/ethnicity and nationality</t>
  </si>
  <si>
    <t xml:space="preserve">The Company has in place a Board Diversity Policy that sets out the framework and approach for the Board to set its qualitative and measurable quantitative objectives for achieving diversity, and to annually assess progress in achieving these objectives.</t>
  </si>
  <si>
    <t xml:space="preserve">Annual report &gt; Corporate Governance &gt; Annual Review of Board Diversity</t>
  </si>
  <si>
    <t xml:space="preserve">Staff volunteering programme with community partners, including the Muscular Dystrophy Association (Singapore), run together with Keppel FM&amp;I</t>
  </si>
  <si>
    <t xml:space="preserve">Together with Keppel FM&amp;I, the Manager contributed over 1,300 hours to community outreach initiatives in 2025 – surpassing Keppel FM&amp;I’s annual target of 800 volunteer hours.</t>
  </si>
  <si>
    <t xml:space="preserve">Annual report &gt; Sustainability Report &gt; Letter to Stakeholders &gt; Nurturing People and Supporting Communities</t>
  </si>
  <si>
    <t xml:space="preserve">Employee training and upskilling programmes</t>
  </si>
  <si>
    <t xml:space="preserve">In 2025, Keppel REIT employees attended an average of 39 hours of training per person, surpassing the target of 20 hours.</t>
  </si>
  <si>
    <t xml:space="preserve">Annual report &gt; Sustainability Report &gt; People and Community &gt; Human Capital Management &gt; Performance and Progress</t>
  </si>
  <si>
    <t xml:space="preserve">Training on unconscious bias and inclusive leadership for employees</t>
  </si>
  <si>
    <t xml:space="preserve">As part of continued efforts to foster an inclusive workplace, training programmes on unconscious bias and inclusive leadership were also conducted.</t>
  </si>
  <si>
    <t xml:space="preserve">Annual report &gt; Sustainability Report &gt; People and Community &gt; Human Capital Management</t>
  </si>
  <si>
    <t xml:space="preserve">Group-wide annual Global Inclusion Festival for employees</t>
  </si>
  <si>
    <t xml:space="preserve">In addition to technical skills, Keppel’s Annual Global Inclusion Festival, held in October 2025 created opportunities for employees to have discussions on building an inclusive workplace and creating fairness at the workplace.</t>
  </si>
  <si>
    <t xml:space="preserve">Disability access features across most portfolio buildings</t>
  </si>
  <si>
    <t xml:space="preserve">While most buildings already feature disability access and direct links to public transport, the Manager continues to seek opportunities to further improve accessibility across other properties within the portfolio wherever feasible.</t>
  </si>
  <si>
    <t xml:space="preserve">Annual report &gt; Sustainability Report &gt; Environmental Stewardship &gt; Accessibility</t>
  </si>
  <si>
    <t xml:space="preserve">Disclosure of female representation on the Board</t>
  </si>
  <si>
    <t xml:space="preserve">As at end-2025, female representation on the Board of Directors was 33.3%.</t>
  </si>
  <si>
    <t xml:space="preserve">Annual report &gt; Sustainability Report &gt; People and Community &gt; Diversity and inclusion</t>
  </si>
  <si>
    <t xml:space="preserve">Operates the ION Art Gallery, an art exhibition space within its ION Orchard mall</t>
  </si>
  <si>
    <t xml:space="preserve">In addition, ION Orchard offers unique and multi-sensory experiences via the ION Art Gallery and ION Sky.</t>
  </si>
  <si>
    <t xml:space="preserve">Annual report &gt; Property Details &gt; ION Orchard</t>
  </si>
  <si>
    <t xml:space="preserve">Employee volunteering under the company's social good programme</t>
  </si>
  <si>
    <t xml:space="preserve">908 Volunteer Hours by Employees</t>
  </si>
  <si>
    <t xml:space="preserve">Annual report &gt; ESG Highlights &gt; Fostering Positive Change through Social Good</t>
  </si>
  <si>
    <t xml:space="preserve">Employee training programme</t>
  </si>
  <si>
    <t xml:space="preserve">~24 Training Hours per Employee</t>
  </si>
  <si>
    <t xml:space="preserve">Annual report &gt; ESG Highlights</t>
  </si>
  <si>
    <t xml:space="preserve">Properties built to and certified under Singapore's BCA Universal Design Mark for accessible, inclusive design (e.g. Westgate, CapitaGreen, Bedok Mall, Capital Tower)</t>
  </si>
  <si>
    <t xml:space="preserve">BCA Universal Design Mark Platinum</t>
  </si>
  <si>
    <t xml:space="preserve">Annual report &gt; Property Details &gt; Westgate &gt; Property Information</t>
  </si>
  <si>
    <t xml:space="preserve">Disclosure of female representation in senior management</t>
  </si>
  <si>
    <t xml:space="preserve">54% Female Representation in Senior Management Level</t>
  </si>
  <si>
    <t xml:space="preserve">Planned conversion of Capital Tower Level 9 into a community space (a workplace mental wellness centre with TOUCH Community Services and CapitaLand Hope Foundation)</t>
  </si>
  <si>
    <t xml:space="preserve">From 3Q 2026, Capital Tower, a Grade A office building, will undergo an approximately S$25 million AEI, which will reposition Level 9 into a community space and create a higher-yielding F&amp;B space with a multi-tenanted retail pavilion on Level 1.</t>
  </si>
  <si>
    <t xml:space="preserve">Annual report &gt; Continued momentum into 2026</t>
  </si>
  <si>
    <t xml:space="preserve">Employee-led community initiatives, including partnerships with the Red Cross and Lion Befrienders</t>
  </si>
  <si>
    <t xml:space="preserve">Multiple employee-led community initiatives including partnerships with Red Cross and Lion Befrienders</t>
  </si>
  <si>
    <t xml:space="preserve">Annual report &gt; ESG highlights &gt; FY2025 key sustainability highlights</t>
  </si>
  <si>
    <t xml:space="preserve">Board Diversity Policy with a gender representation target and disclosed board gender makeup</t>
  </si>
  <si>
    <t xml:space="preserve">In progress – As at 30 September 2025, the Board has 1 female director, representing 20% of the Board.</t>
  </si>
  <si>
    <t xml:space="preserve">Annual report &gt; Corporate governance report &gt; Board diversity policy, targets, timelines and progress</t>
  </si>
  <si>
    <t xml:space="preserve">ESG highlights &gt; FY2025 key sustainability highlights</t>
  </si>
  <si>
    <t xml:space="preserve">Training provided to the Manager's employees</t>
  </si>
  <si>
    <t xml:space="preserve">24.8 hours of training per employee on average</t>
  </si>
  <si>
    <t xml:space="preserve">Annual report &gt; Environmental, Social and Governance Recognition &gt; Social Highlights</t>
  </si>
  <si>
    <t xml:space="preserve">Employee volunteering in the community</t>
  </si>
  <si>
    <t xml:space="preserve">164 volunteering hours by employees</t>
  </si>
  <si>
    <t xml:space="preserve">Board diversity policy with gender targets for female directors</t>
  </si>
  <si>
    <t xml:space="preserve">To have at least 25% and 30% female Directors on the Board during the period leading up to 2025 and 2030.</t>
  </si>
  <si>
    <t xml:space="preserve">Annual report &gt; Corporate Governance &gt; Board Diversity &gt; Diversity Targets, Plans and Timelines</t>
  </si>
  <si>
    <t xml:space="preserve">Why it was dropped</t>
  </si>
  <si>
    <t xml:space="preserve">EMSN.SW</t>
  </si>
  <si>
    <t xml:space="preserve">Ems-Chemie</t>
  </si>
  <si>
    <t xml:space="preserve">dropped by the team (Oct 23): annual report has too little narrative text to score (1,629 words, under 2,000)</t>
  </si>
  <si>
    <t xml:space="preserve">ISAT.JK</t>
  </si>
  <si>
    <t xml:space="preserve">Indosat</t>
  </si>
  <si>
    <t xml:space="preserve">dropped by the team (Oct 23): annual report download blocked (IDX and company site)</t>
  </si>
  <si>
    <t xml:space="preserve">UNVR.JK</t>
  </si>
  <si>
    <t xml:space="preserve">Unilever Indonesia</t>
  </si>
  <si>
    <t xml:space="preserve">ICBP.JK</t>
  </si>
  <si>
    <t xml:space="preserve">Indofood CBP</t>
  </si>
  <si>
    <t xml:space="preserve">BDMN.JK</t>
  </si>
  <si>
    <t xml:space="preserve">Bank Danamon</t>
  </si>
  <si>
    <t xml:space="preserve">BBRI.JK</t>
  </si>
  <si>
    <t xml:space="preserve">Bank Rakyat Indonesia</t>
  </si>
  <si>
    <t xml:space="preserve">SWICH.AS</t>
  </si>
  <si>
    <t xml:space="preserve">SWI Capital Holding</t>
  </si>
  <si>
    <t xml:space="preserve">identity unclear: check ticker/name with the team.</t>
  </si>
</sst>
</file>

<file path=xl/styles.xml><?xml version="1.0" encoding="utf-8"?>
<styleSheet xmlns="http://schemas.openxmlformats.org/spreadsheetml/2006/main">
  <numFmts count="3">
    <numFmt numFmtId="164" formatCode="General"/>
    <numFmt numFmtId="165" formatCode="0.0"/>
    <numFmt numFmtId="166" formatCode="#,##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name val="Arial"/>
      <family val="0"/>
      <charset val="1"/>
    </font>
    <font>
      <b val="true"/>
      <sz val="10"/>
      <color rgb="FFFFFFFF"/>
      <name val="Arial"/>
      <family val="0"/>
      <charset val="1"/>
    </font>
    <font>
      <sz val="10"/>
      <name val="Arial"/>
      <family val="0"/>
      <charset val="1"/>
    </font>
    <font>
      <b val="true"/>
      <sz val="10"/>
      <name val="Arial"/>
      <family val="0"/>
      <charset val="1"/>
    </font>
    <font>
      <i val="true"/>
      <sz val="9"/>
      <name val="Arial"/>
      <family val="0"/>
      <charset val="1"/>
    </font>
    <font>
      <sz val="10"/>
      <color rgb="FF0000FF"/>
      <name val="Arial"/>
      <family val="0"/>
      <charset val="1"/>
    </font>
    <font>
      <u val="single"/>
      <sz val="10"/>
      <color rgb="FF0563C1"/>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0563C1"/>
          <bgColor rgb="FF000000"/>
        </patternFill>
      </fill>
    </dxf>
    <dxf>
      <fill>
        <patternFill>
          <bgColor rgb="FFE2EFDA"/>
        </patternFill>
      </fill>
    </dxf>
    <dxf>
      <fill>
        <patternFill>
          <bgColor rgb="FFFCE4D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danskebank.com/-/media/danske-bank-com/file-cloud/2026/2/annual-report-2025.pdf?rev=16af459cfa094b8ab365a911a324f7f2" TargetMode="External"/><Relationship Id="rId2" Type="http://schemas.openxmlformats.org/officeDocument/2006/relationships/hyperlink" Target="https://attachment.news.eu.nasdaq.com/a636006377807c5474acd3b1ab00500e5" TargetMode="External"/><Relationship Id="rId3" Type="http://schemas.openxmlformats.org/officeDocument/2006/relationships/hyperlink" Target="https://attachment.news.eu.nasdaq.com/a11687649947912d72fafbdc8f0845e19" TargetMode="External"/><Relationship Id="rId4" Type="http://schemas.openxmlformats.org/officeDocument/2006/relationships/hyperlink" Target="https://attachment.news.eu.nasdaq.com/a610db5d4df88710ac547817939aacd8f" TargetMode="External"/><Relationship Id="rId5" Type="http://schemas.openxmlformats.org/officeDocument/2006/relationships/hyperlink" Target="https://assets-we.cas.dgs.com/-/media/demant/shared/new-library-2022/financial-reports/annual-report-english/demant-annual-report-2025.pdf?la=en&amp;rev=AE32&amp;hash=F68551D4B2CB09858AD389A748D55FF6" TargetMode="External"/><Relationship Id="rId6" Type="http://schemas.openxmlformats.org/officeDocument/2006/relationships/hyperlink" Target="https://www.lundbeck.com/content/dam/lundbeck-com/masters/global-site/annual-reporting/2025/Lundbeck_Annual_Report_2025.pdf" TargetMode="External"/><Relationship Id="rId7" Type="http://schemas.openxmlformats.org/officeDocument/2006/relationships/hyperlink" Target="https://www.bavarian-nordic.com/media/380028/bn_annual_report_2025.pdf" TargetMode="External"/><Relationship Id="rId8" Type="http://schemas.openxmlformats.org/officeDocument/2006/relationships/hyperlink" Target="https://www.zealandpharma.com/media/2oeew4jl/zealand-pharma-annual-report-2025.pdf" TargetMode="External"/><Relationship Id="rId9" Type="http://schemas.openxmlformats.org/officeDocument/2006/relationships/hyperlink" Target="https://attachment.news.eu.nasdaq.com/a772ca2d52624dd57c81a282b8e1fb8aa" TargetMode="External"/><Relationship Id="rId10" Type="http://schemas.openxmlformats.org/officeDocument/2006/relationships/hyperlink" Target="https://www.sec.gov/Archives/edgar/data/1434265/000143426526000014/gmab-20251231_d2.htm" TargetMode="External"/><Relationship Id="rId11" Type="http://schemas.openxmlformats.org/officeDocument/2006/relationships/hyperlink" Target="https://www.vestas.com/content/dam/vestas-com/global/en/investor/reports-and-presentations/financial/2025/fy-2025/Vestas%20Annual%20Report%202025.pdf.coredownload.inline.pdf" TargetMode="External"/><Relationship Id="rId12" Type="http://schemas.openxmlformats.org/officeDocument/2006/relationships/hyperlink" Target="https://attachment.news.eu.nasdaq.com/ac6824c31a47a615477d702aedbbdb9ad" TargetMode="External"/><Relationship Id="rId13" Type="http://schemas.openxmlformats.org/officeDocument/2006/relationships/hyperlink" Target="https://attachment.news.eu.nasdaq.com/aa5bc3ccc5e259aa01dbe8bff4f0995b1" TargetMode="External"/><Relationship Id="rId14" Type="http://schemas.openxmlformats.org/officeDocument/2006/relationships/hyperlink" Target="https://attachment.news.eu.nasdaq.com/a35279cd1e1c3779db793f83af61e92e8" TargetMode="External"/><Relationship Id="rId15" Type="http://schemas.openxmlformats.org/officeDocument/2006/relationships/hyperlink" Target="https://www.straumann.com/content/dam/media-center/group/en/documents/annual-report/2025/Straumann_AR25.pdf" TargetMode="External"/><Relationship Id="rId16" Type="http://schemas.openxmlformats.org/officeDocument/2006/relationships/hyperlink" Target="https://www.sonova.com/wp-content/uploads/2026/05/01_Sonova_AR_25-26_Full_Report_en.pdf" TargetMode="External"/><Relationship Id="rId17" Type="http://schemas.openxmlformats.org/officeDocument/2006/relationships/hyperlink" Target="https://www.galderma.com/sites/default/files/2026-03/galderma_ar_2025_consolidated-doc_8b_260304_-_full.pdf" TargetMode="External"/><Relationship Id="rId18" Type="http://schemas.openxmlformats.org/officeDocument/2006/relationships/hyperlink" Target="https://sandoz-com.cms.sandoz.com/sites/default/files/Media%20Documents/Sandoz%20Integrated%20Annual%20Report%202025.pdf" TargetMode="External"/><Relationship Id="rId19" Type="http://schemas.openxmlformats.org/officeDocument/2006/relationships/hyperlink" Target=")%20https://links.sgx.com/1.0.0/corporate-announcements/LJE7WPRJD5EBVAED/881490_Lonza%20Annual%20Report%202025.pdf" TargetMode="External"/><Relationship Id="rId20" Type="http://schemas.openxmlformats.org/officeDocument/2006/relationships/hyperlink" Target="https://www.sec.gov/Archives/edgar/data/1167379/000116737926000014/alc-20251231.htm" TargetMode="External"/><Relationship Id="rId21" Type="http://schemas.openxmlformats.org/officeDocument/2006/relationships/hyperlink" Target="https://group.schindler.com/content/dam/website/group/docs/investors/2025/2025-schindler-fy-group-review-en.pdf/_jcr_content/renditions/original./2025-schindler-fy-group-review-en.pdf" TargetMode="External"/><Relationship Id="rId22" Type="http://schemas.openxmlformats.org/officeDocument/2006/relationships/hyperlink" Target="https://accelleron.com/content/dam/accelleronind/documents/investors/accelleron-annual-report-2025.pdf" TargetMode="External"/><Relationship Id="rId23" Type="http://schemas.openxmlformats.org/officeDocument/2006/relationships/hyperlink" Target="https://report.belimo.com/ar25/app/uploads/Annual-Report-2025.pdf" TargetMode="External"/><Relationship Id="rId24" Type="http://schemas.openxmlformats.org/officeDocument/2006/relationships/hyperlink" Target="https://reports.geberit.com/annual-report/2025/_assets/downloads/geberit-ar25-en-entire.pdf" TargetMode="External"/><Relationship Id="rId25" Type="http://schemas.openxmlformats.org/officeDocument/2006/relationships/hyperlink" Target="https://www.givaudan.com/file/1366761/download" TargetMode="External"/><Relationship Id="rId26" Type="http://schemas.openxmlformats.org/officeDocument/2006/relationships/hyperlink" Target="https://annualreport.dsm-firmenich.com/2025/_assets/downloads/entire-dsmfirmenich-iar25.pdf" TargetMode="External"/><Relationship Id="rId27" Type="http://schemas.openxmlformats.org/officeDocument/2006/relationships/hyperlink" Target="https://www.sika.com/dam/dms/corporate/media/glo-ar-25-annual-report.pdf" TargetMode="External"/><Relationship Id="rId28" Type="http://schemas.openxmlformats.org/officeDocument/2006/relationships/hyperlink" Target="https://doc.twse.com.tw/pdf/2025_2881_20260612FE4_20261024_002816.pdf" TargetMode="External"/><Relationship Id="rId29" Type="http://schemas.openxmlformats.org/officeDocument/2006/relationships/hyperlink" Target="https://doc.twse.com.tw/pdf/2025_2887_20260612FE4_20261024_001741.pdf" TargetMode="External"/><Relationship Id="rId30" Type="http://schemas.openxmlformats.org/officeDocument/2006/relationships/hyperlink" Target="https://doc.twse.com.tw/pdf/2025_2883_20260612FE4_20261024_002419.pdf" TargetMode="External"/><Relationship Id="rId31" Type="http://schemas.openxmlformats.org/officeDocument/2006/relationships/hyperlink" Target="https://www.esunbank.com/en/-/media/ESUNFHC/Files/Investor-Relations/About-ESUN/Annual-Reports/Annual-Reports-FHC/esunfhc_annual_2025" TargetMode="External"/><Relationship Id="rId32" Type="http://schemas.openxmlformats.org/officeDocument/2006/relationships/hyperlink" Target="https://doc.twse.com.tw/pdf/2025_2890_20260526FE4_20261024_014510.pdf" TargetMode="External"/><Relationship Id="rId33" Type="http://schemas.openxmlformats.org/officeDocument/2006/relationships/hyperlink" Target="https://www.yuanta.com/Files/970ac88b-be51-4dbd-8070-c3c680efcebe/YFH2025_E.pdf" TargetMode="External"/><Relationship Id="rId34" Type="http://schemas.openxmlformats.org/officeDocument/2006/relationships/hyperlink" Target="https://www.asus.com/EVENT/Investor/Content/attachment_en/2025_Annual_Report_en.pdf" TargetMode="External"/><Relationship Id="rId35" Type="http://schemas.openxmlformats.org/officeDocument/2006/relationships/hyperlink" Target="https://www.mediatek.com/hubfs/728015/MediaTek%20Assets/Pdfs/Annual%20Reports/2025-English-Annual-Report.pdf" TargetMode="External"/><Relationship Id="rId36" Type="http://schemas.openxmlformats.org/officeDocument/2006/relationships/hyperlink" Target="https://doc.twse.com.tw/pdf/2025_2395_20260529FE4_20261024_015050.pdf" TargetMode="External"/><Relationship Id="rId37" Type="http://schemas.openxmlformats.org/officeDocument/2006/relationships/hyperlink" Target="https://doc.twse.com.tw/pdf/2025_3481_20260527FE4_20261024_015318.pdf" TargetMode="External"/><Relationship Id="rId38" Type="http://schemas.openxmlformats.org/officeDocument/2006/relationships/hyperlink" Target="https://www.novatek.com.tw/upload/website/_2025%20Annual%20Report_e_26050614_856.pdf" TargetMode="External"/><Relationship Id="rId39" Type="http://schemas.openxmlformats.org/officeDocument/2006/relationships/hyperlink" Target="https://www.largan.com.tw/en/tool-download/page_en_size/file/204/2025%20Company%20Annual%20Report" TargetMode="External"/><Relationship Id="rId40" Type="http://schemas.openxmlformats.org/officeDocument/2006/relationships/hyperlink" Target="https://doc.twse.com.tw/pdf/2025_2408_20260521FE4_20261024_003738.pdf" TargetMode="External"/><Relationship Id="rId41" Type="http://schemas.openxmlformats.org/officeDocument/2006/relationships/hyperlink" Target="https://www.guc-asic.com/upload/2026_04_16/8_202604161551145dnuwxrHk5.pdf" TargetMode="External"/><Relationship Id="rId42" Type="http://schemas.openxmlformats.org/officeDocument/2006/relationships/hyperlink" Target="https://cms.emtek.co.id/media/annual_report_attachment_en/gcib/AR-EMTEK-2025.pdf" TargetMode="External"/><Relationship Id="rId43" Type="http://schemas.openxmlformats.org/officeDocument/2006/relationships/hyperlink" Target="https://www.sec.gov/Archives/edgar/data/1001807/000110465926062051/tmb-20251231x20f.htm" TargetMode="External"/><Relationship Id="rId44" Type="http://schemas.openxmlformats.org/officeDocument/2006/relationships/hyperlink" Target="https://www.indoritel.co.id/storage/files/pdf/AR%20Indoritel%202025_%20ok%20_1777368195.pdf" TargetMode="External"/><Relationship Id="rId45" Type="http://schemas.openxmlformats.org/officeDocument/2006/relationships/hyperlink" Target="https://www.astra-agro.co.id/wp-content/uploads/2026/03/AR-2025-AALI-web.pdf" TargetMode="External"/><Relationship Id="rId46" Type="http://schemas.openxmlformats.org/officeDocument/2006/relationships/hyperlink" Target="https://www.sampoerna.com/content/dam/pmicom/affiliates/sampoerna/docs/annua-report-and-sustainability-report-2025.pdf" TargetMode="External"/><Relationship Id="rId47" Type="http://schemas.openxmlformats.org/officeDocument/2006/relationships/hyperlink" Target="https://www.indofood.com/uploads/annual/AR_ISM_2025_web.pdf" TargetMode="External"/><Relationship Id="rId48" Type="http://schemas.openxmlformats.org/officeDocument/2006/relationships/hyperlink" Target="https://www.gudanggaramtbk.com/media/uploads/files/GGRM_AR_2025_FINAL.pdf" TargetMode="External"/><Relationship Id="rId49" Type="http://schemas.openxmlformats.org/officeDocument/2006/relationships/hyperlink" Target="https://www.bankmandiri.co.id/documents/38265486/0/%5BFINAL+-+2904%5D+ANNUAL+REPORT+BMRI+2025+%281%29.pdf/da87ca86-a02b-f394-b2e4-1ff3f268c0ee?t=1777514285182" TargetMode="External"/><Relationship Id="rId50" Type="http://schemas.openxmlformats.org/officeDocument/2006/relationships/hyperlink" Target="https://www.bni.co.id/Portals/1/BNI/Perusahaan/HubunganInvestor/Docs/BNI-AR-2025-IND.pdf" TargetMode="External"/><Relationship Id="rId51" Type="http://schemas.openxmlformats.org/officeDocument/2006/relationships/hyperlink" Target="https://www.uobgroup.com/investor-relations/assets/pdfs/investor/annual/uob-annual-report-2025.pdf" TargetMode="External"/><Relationship Id="rId52" Type="http://schemas.openxmlformats.org/officeDocument/2006/relationships/hyperlink" Target="https://www.ocbc.com/iwov-resources/sg/ocbc/gbc/pdf/investors/annual-reports/2025/2025-annual-report-en.pdf" TargetMode="External"/><Relationship Id="rId53" Type="http://schemas.openxmlformats.org/officeDocument/2006/relationships/hyperlink" Target="https://www.dbs.com/annualreports/2025/i/pdf/dbs-ar-2025.pdf" TargetMode="External"/><Relationship Id="rId54" Type="http://schemas.openxmlformats.org/officeDocument/2006/relationships/hyperlink" Target="https://links.sgx.com/FileOpen/2025_SGX_Annual_Report.ashx?App=Announcement&amp;FileID=859054" TargetMode="External"/><Relationship Id="rId55" Type="http://schemas.openxmlformats.org/officeDocument/2006/relationships/hyperlink" Target="https://links.sgx.com/1.0.0/corporate-announcements/44JTWA0DH7EZYK4P/881221_PCRDL_Annual%20Report%202025.pdf" TargetMode="External"/><Relationship Id="rId56" Type="http://schemas.openxmlformats.org/officeDocument/2006/relationships/hyperlink" Target="https://links.sgx.com/1.0.0/corporate-announcements/KDUEMRFCNK9XYXB6/895114_SATS_Annual_Report_FY2026.pdf" TargetMode="External"/><Relationship Id="rId57" Type="http://schemas.openxmlformats.org/officeDocument/2006/relationships/hyperlink" Target="https://links.sgx.com/1.0.0/corporate-announcements/CBBHM38X24NO0DHG/894198_Annual%20Report%20FY2025-26.pdf" TargetMode="External"/><Relationship Id="rId58" Type="http://schemas.openxmlformats.org/officeDocument/2006/relationships/hyperlink" Target="https://links.sgx.com/1.0.0/corporate-announcements/CMLEN559K1LSH1QR/880492_1.%20Keppel%20Ltd._Annual%20Report%202025.pdf" TargetMode="External"/><Relationship Id="rId59" Type="http://schemas.openxmlformats.org/officeDocument/2006/relationships/hyperlink" Target="https://links.sgx.com/1.0.0/corporate-announcements/NJVPQZT3VFNIX7HM/882457_HPHT%20AR2025%20SGX.pdf" TargetMode="External"/><Relationship Id="rId60" Type="http://schemas.openxmlformats.org/officeDocument/2006/relationships/hyperlink" Target="https://links.sgx.com/1.0.0/corporate-announcements/PY3VCKEQ8KS6R716/878885_2_CICT%20AR%202025_Final.pdf" TargetMode="External"/><Relationship Id="rId61" Type="http://schemas.openxmlformats.org/officeDocument/2006/relationships/hyperlink" Target="https://www.keppelreit.com/file/investor-relations/publications/annual-reports/keppel-reit-ar25.pdf" TargetMode="External"/><Relationship Id="rId62" Type="http://schemas.openxmlformats.org/officeDocument/2006/relationships/hyperlink" Target="https://links.sgx.com/1.0.0/corporate-announcements/VLMUR6L61OAEVKHB/881419_CLAR%20-%20AR%202025.pdf" TargetMode="External"/><Relationship Id="rId63" Type="http://schemas.openxmlformats.org/officeDocument/2006/relationships/hyperlink" Target="https://links.sgx.com/1.0.0/corporate-announcements/531D1L1A4ZGIBBAO/870400_FLCT%20-%20Annual%20Report%202025.pdf" TargetMode="External"/><Relationship Id="rId64"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4"/>
    <col collapsed="false" customWidth="true" hidden="false" outlineLevel="0" max="3" min="3" style="0" width="11"/>
    <col collapsed="false" customWidth="true" hidden="false" outlineLevel="0" max="5" min="4" style="0" width="8"/>
    <col collapsed="false" customWidth="true" hidden="false" outlineLevel="0" max="6" min="6" style="0" width="40"/>
    <col collapsed="false" customWidth="true" hidden="false" outlineLevel="0" max="8" min="7" style="0" width="11"/>
  </cols>
  <sheetData>
    <row r="1" customFormat="false" ht="17.35" hidden="false" customHeight="false" outlineLevel="0" collapsed="false">
      <c r="A1" s="1" t="s">
        <v>0</v>
      </c>
    </row>
    <row r="2" customFormat="false" ht="15" hidden="false" customHeight="false" outlineLevel="0" collapsed="false">
      <c r="A2" s="2" t="s">
        <v>1</v>
      </c>
    </row>
    <row r="4" customFormat="false" ht="30" hidden="false" customHeight="true" outlineLevel="0" collapsed="false">
      <c r="A4" s="3" t="s">
        <v>2</v>
      </c>
      <c r="B4" s="3" t="s">
        <v>3</v>
      </c>
      <c r="C4" s="3" t="s">
        <v>4</v>
      </c>
      <c r="D4" s="3" t="s">
        <v>5</v>
      </c>
      <c r="E4" s="3" t="s">
        <v>6</v>
      </c>
      <c r="F4" s="3" t="s">
        <v>7</v>
      </c>
      <c r="G4" s="3" t="s">
        <v>8</v>
      </c>
      <c r="H4" s="3" t="s">
        <v>9</v>
      </c>
    </row>
    <row r="5" customFormat="false" ht="15" hidden="false" customHeight="false" outlineLevel="0" collapsed="false">
      <c r="A5" s="4" t="s">
        <v>10</v>
      </c>
      <c r="B5" s="4" t="s">
        <v>11</v>
      </c>
      <c r="C5" s="4" t="n">
        <f aca="false">COUNTIFS('All scored'!$A$2:$A$64,A5,'All scored'!$B$2:$B$64,B5)</f>
        <v>4</v>
      </c>
      <c r="D5" s="4" t="n">
        <f aca="false">COUNTIFS('All scored'!$A$2:$A$64,A5,'All scored'!$B$2:$B$64,B5,'All scored'!$M$2:$M$64,"Pass")</f>
        <v>2</v>
      </c>
      <c r="E5" s="4" t="n">
        <f aca="false">COUNTIFS('All scored'!$A$2:$A$64,A5,'All scored'!$B$2:$B$64,B5,'All scored'!$M$2:$M$64,"Fail")</f>
        <v>2</v>
      </c>
      <c r="F5" s="4" t="str">
        <f aca="false">INDEX('All scored'!$D$2:$D$64,MATCH(1,INDEX(('All scored'!$A$2:$A$64=A5)*('All scored'!$B$2:$B$64=B5)*('All scored'!$L$2:$L$64=1),0),0))</f>
        <v>Danske Bank</v>
      </c>
      <c r="G5" s="5" t="n">
        <f aca="false">SUMPRODUCT(MAX(('All scored'!$A$2:$A$64=A5)*('All scored'!$B$2:$B$64=B5)*'All scored'!$K$2:$K$64))</f>
        <v>32</v>
      </c>
      <c r="H5" s="5" t="n">
        <f aca="false">AVERAGEIFS('All scored'!$K$2:$K$64,'All scored'!$A$2:$A$64,A5,'All scored'!$B$2:$B$64,B5)</f>
        <v>26</v>
      </c>
    </row>
    <row r="6" customFormat="false" ht="15" hidden="false" customHeight="false" outlineLevel="0" collapsed="false">
      <c r="A6" s="4" t="s">
        <v>10</v>
      </c>
      <c r="B6" s="4" t="s">
        <v>12</v>
      </c>
      <c r="C6" s="4" t="n">
        <f aca="false">COUNTIFS('All scored'!$A$2:$A$64,A6,'All scored'!$B$2:$B$64,B6)</f>
        <v>6</v>
      </c>
      <c r="D6" s="4" t="n">
        <f aca="false">COUNTIFS('All scored'!$A$2:$A$64,A6,'All scored'!$B$2:$B$64,B6,'All scored'!$M$2:$M$64,"Pass")</f>
        <v>3</v>
      </c>
      <c r="E6" s="4" t="n">
        <f aca="false">COUNTIFS('All scored'!$A$2:$A$64,A6,'All scored'!$B$2:$B$64,B6,'All scored'!$M$2:$M$64,"Fail")</f>
        <v>3</v>
      </c>
      <c r="F6" s="4" t="str">
        <f aca="false">INDEX('All scored'!$D$2:$D$64,MATCH(1,INDEX(('All scored'!$A$2:$A$64=A6)*('All scored'!$B$2:$B$64=B6)*('All scored'!$L$2:$L$64=1),0),0))</f>
        <v>Demant</v>
      </c>
      <c r="G6" s="5" t="n">
        <f aca="false">SUMPRODUCT(MAX(('All scored'!$A$2:$A$64=A6)*('All scored'!$B$2:$B$64=B6)*'All scored'!$K$2:$K$64))</f>
        <v>31</v>
      </c>
      <c r="H6" s="5" t="n">
        <f aca="false">AVERAGEIFS('All scored'!$K$2:$K$64,'All scored'!$A$2:$A$64,A6,'All scored'!$B$2:$B$64,B6)</f>
        <v>20.5</v>
      </c>
    </row>
    <row r="7" customFormat="false" ht="15" hidden="false" customHeight="false" outlineLevel="0" collapsed="false">
      <c r="A7" s="4" t="s">
        <v>10</v>
      </c>
      <c r="B7" s="4" t="s">
        <v>13</v>
      </c>
      <c r="C7" s="4" t="n">
        <f aca="false">COUNTIFS('All scored'!$A$2:$A$64,A7,'All scored'!$B$2:$B$64,B7)</f>
        <v>4</v>
      </c>
      <c r="D7" s="4" t="n">
        <f aca="false">COUNTIFS('All scored'!$A$2:$A$64,A7,'All scored'!$B$2:$B$64,B7,'All scored'!$M$2:$M$64,"Pass")</f>
        <v>3</v>
      </c>
      <c r="E7" s="4" t="n">
        <f aca="false">COUNTIFS('All scored'!$A$2:$A$64,A7,'All scored'!$B$2:$B$64,B7,'All scored'!$M$2:$M$64,"Fail")</f>
        <v>1</v>
      </c>
      <c r="F7" s="4" t="str">
        <f aca="false">INDEX('All scored'!$D$2:$D$64,MATCH(1,INDEX(('All scored'!$A$2:$A$64=A7)*('All scored'!$B$2:$B$64=B7)*('All scored'!$L$2:$L$64=1),0),0))</f>
        <v>Vestas Wind Systems</v>
      </c>
      <c r="G7" s="5" t="n">
        <f aca="false">SUMPRODUCT(MAX(('All scored'!$A$2:$A$64=A7)*('All scored'!$B$2:$B$64=B7)*'All scored'!$K$2:$K$64))</f>
        <v>26</v>
      </c>
      <c r="H7" s="5" t="n">
        <f aca="false">AVERAGEIFS('All scored'!$K$2:$K$64,'All scored'!$A$2:$A$64,A7,'All scored'!$B$2:$B$64,B7)</f>
        <v>22.75</v>
      </c>
    </row>
    <row r="8" customFormat="false" ht="15" hidden="false" customHeight="false" outlineLevel="0" collapsed="false">
      <c r="A8" s="4" t="s">
        <v>14</v>
      </c>
      <c r="B8" s="4" t="s">
        <v>12</v>
      </c>
      <c r="C8" s="4" t="n">
        <f aca="false">COUNTIFS('All scored'!$A$2:$A$64,A8,'All scored'!$B$2:$B$64,B8)</f>
        <v>6</v>
      </c>
      <c r="D8" s="4" t="n">
        <f aca="false">COUNTIFS('All scored'!$A$2:$A$64,A8,'All scored'!$B$2:$B$64,B8,'All scored'!$M$2:$M$64,"Pass")</f>
        <v>3</v>
      </c>
      <c r="E8" s="4" t="n">
        <f aca="false">COUNTIFS('All scored'!$A$2:$A$64,A8,'All scored'!$B$2:$B$64,B8,'All scored'!$M$2:$M$64,"Fail")</f>
        <v>3</v>
      </c>
      <c r="F8" s="4" t="str">
        <f aca="false">INDEX('All scored'!$D$2:$D$64,MATCH(1,INDEX(('All scored'!$A$2:$A$64=A8)*('All scored'!$B$2:$B$64=B8)*('All scored'!$L$2:$L$64=1),0),0))</f>
        <v>Straumann</v>
      </c>
      <c r="G8" s="5" t="n">
        <f aca="false">SUMPRODUCT(MAX(('All scored'!$A$2:$A$64=A8)*('All scored'!$B$2:$B$64=B8)*'All scored'!$K$2:$K$64))</f>
        <v>43</v>
      </c>
      <c r="H8" s="5" t="n">
        <f aca="false">AVERAGEIFS('All scored'!$K$2:$K$64,'All scored'!$A$2:$A$64,A8,'All scored'!$B$2:$B$64,B8)</f>
        <v>32.8333333333333</v>
      </c>
    </row>
    <row r="9" customFormat="false" ht="15" hidden="false" customHeight="false" outlineLevel="0" collapsed="false">
      <c r="A9" s="4" t="s">
        <v>14</v>
      </c>
      <c r="B9" s="4" t="s">
        <v>13</v>
      </c>
      <c r="C9" s="4" t="n">
        <f aca="false">COUNTIFS('All scored'!$A$2:$A$64,A9,'All scored'!$B$2:$B$64,B9)</f>
        <v>4</v>
      </c>
      <c r="D9" s="4" t="n">
        <f aca="false">COUNTIFS('All scored'!$A$2:$A$64,A9,'All scored'!$B$2:$B$64,B9,'All scored'!$M$2:$M$64,"Pass")</f>
        <v>2</v>
      </c>
      <c r="E9" s="4" t="n">
        <f aca="false">COUNTIFS('All scored'!$A$2:$A$64,A9,'All scored'!$B$2:$B$64,B9,'All scored'!$M$2:$M$64,"Fail")</f>
        <v>2</v>
      </c>
      <c r="F9" s="4" t="str">
        <f aca="false">INDEX('All scored'!$D$2:$D$64,MATCH(1,INDEX(('All scored'!$A$2:$A$64=A9)*('All scored'!$B$2:$B$64=B9)*('All scored'!$L$2:$L$64=1),0),0))</f>
        <v>Schindler Group</v>
      </c>
      <c r="G9" s="5" t="n">
        <f aca="false">SUMPRODUCT(MAX(('All scored'!$A$2:$A$64=A9)*('All scored'!$B$2:$B$64=B9)*'All scored'!$K$2:$K$64))</f>
        <v>30</v>
      </c>
      <c r="H9" s="5" t="n">
        <f aca="false">AVERAGEIFS('All scored'!$K$2:$K$64,'All scored'!$A$2:$A$64,A9,'All scored'!$B$2:$B$64,B9)</f>
        <v>25.5</v>
      </c>
    </row>
    <row r="10" customFormat="false" ht="15" hidden="false" customHeight="false" outlineLevel="0" collapsed="false">
      <c r="A10" s="4" t="s">
        <v>14</v>
      </c>
      <c r="B10" s="4" t="s">
        <v>15</v>
      </c>
      <c r="C10" s="4" t="n">
        <f aca="false">COUNTIFS('All scored'!$A$2:$A$64,A10,'All scored'!$B$2:$B$64,B10)</f>
        <v>3</v>
      </c>
      <c r="D10" s="4" t="n">
        <f aca="false">COUNTIFS('All scored'!$A$2:$A$64,A10,'All scored'!$B$2:$B$64,B10,'All scored'!$M$2:$M$64,"Pass")</f>
        <v>2</v>
      </c>
      <c r="E10" s="4" t="n">
        <f aca="false">COUNTIFS('All scored'!$A$2:$A$64,A10,'All scored'!$B$2:$B$64,B10,'All scored'!$M$2:$M$64,"Fail")</f>
        <v>1</v>
      </c>
      <c r="F10" s="4" t="str">
        <f aca="false">INDEX('All scored'!$D$2:$D$64,MATCH(1,INDEX(('All scored'!$A$2:$A$64=A10)*('All scored'!$B$2:$B$64=B10)*('All scored'!$L$2:$L$64=1),0),0))</f>
        <v>Givaudan</v>
      </c>
      <c r="G10" s="5" t="n">
        <f aca="false">SUMPRODUCT(MAX(('All scored'!$A$2:$A$64=A10)*('All scored'!$B$2:$B$64=B10)*'All scored'!$K$2:$K$64))</f>
        <v>57</v>
      </c>
      <c r="H10" s="5" t="n">
        <f aca="false">AVERAGEIFS('All scored'!$K$2:$K$64,'All scored'!$A$2:$A$64,A10,'All scored'!$B$2:$B$64,B10)</f>
        <v>46.6666666666667</v>
      </c>
    </row>
    <row r="11" customFormat="false" ht="15" hidden="false" customHeight="false" outlineLevel="0" collapsed="false">
      <c r="A11" s="4" t="s">
        <v>16</v>
      </c>
      <c r="B11" s="4" t="s">
        <v>11</v>
      </c>
      <c r="C11" s="4" t="n">
        <f aca="false">COUNTIFS('All scored'!$A$2:$A$64,A11,'All scored'!$B$2:$B$64,B11)</f>
        <v>6</v>
      </c>
      <c r="D11" s="4" t="n">
        <f aca="false">COUNTIFS('All scored'!$A$2:$A$64,A11,'All scored'!$B$2:$B$64,B11,'All scored'!$M$2:$M$64,"Pass")</f>
        <v>3</v>
      </c>
      <c r="E11" s="4" t="n">
        <f aca="false">COUNTIFS('All scored'!$A$2:$A$64,A11,'All scored'!$B$2:$B$64,B11,'All scored'!$M$2:$M$64,"Fail")</f>
        <v>3</v>
      </c>
      <c r="F11" s="4" t="str">
        <f aca="false">INDEX('All scored'!$D$2:$D$64,MATCH(1,INDEX(('All scored'!$A$2:$A$64=A11)*('All scored'!$B$2:$B$64=B11)*('All scored'!$L$2:$L$64=1),0),0))</f>
        <v>Fubon Financial</v>
      </c>
      <c r="G11" s="5" t="n">
        <f aca="false">SUMPRODUCT(MAX(('All scored'!$A$2:$A$64=A11)*('All scored'!$B$2:$B$64=B11)*'All scored'!$K$2:$K$64))</f>
        <v>57</v>
      </c>
      <c r="H11" s="5" t="n">
        <f aca="false">AVERAGEIFS('All scored'!$K$2:$K$64,'All scored'!$A$2:$A$64,A11,'All scored'!$B$2:$B$64,B11)</f>
        <v>50.1666666666667</v>
      </c>
    </row>
    <row r="12" customFormat="false" ht="15" hidden="false" customHeight="false" outlineLevel="0" collapsed="false">
      <c r="A12" s="4" t="s">
        <v>16</v>
      </c>
      <c r="B12" s="4" t="s">
        <v>17</v>
      </c>
      <c r="C12" s="4" t="n">
        <f aca="false">COUNTIFS('All scored'!$A$2:$A$64,A12,'All scored'!$B$2:$B$64,B12)</f>
        <v>8</v>
      </c>
      <c r="D12" s="4" t="n">
        <f aca="false">COUNTIFS('All scored'!$A$2:$A$64,A12,'All scored'!$B$2:$B$64,B12,'All scored'!$M$2:$M$64,"Pass")</f>
        <v>5</v>
      </c>
      <c r="E12" s="4" t="n">
        <f aca="false">COUNTIFS('All scored'!$A$2:$A$64,A12,'All scored'!$B$2:$B$64,B12,'All scored'!$M$2:$M$64,"Fail")</f>
        <v>3</v>
      </c>
      <c r="F12" s="4" t="str">
        <f aca="false">INDEX('All scored'!$D$2:$D$64,MATCH(1,INDEX(('All scored'!$A$2:$A$64=A12)*('All scored'!$B$2:$B$64=B12)*('All scored'!$L$2:$L$64=1),0),0))</f>
        <v>ASUS</v>
      </c>
      <c r="G12" s="5" t="n">
        <f aca="false">SUMPRODUCT(MAX(('All scored'!$A$2:$A$64=A12)*('All scored'!$B$2:$B$64=B12)*'All scored'!$K$2:$K$64))</f>
        <v>54</v>
      </c>
      <c r="H12" s="5" t="n">
        <f aca="false">AVERAGEIFS('All scored'!$K$2:$K$64,'All scored'!$A$2:$A$64,A12,'All scored'!$B$2:$B$64,B12)</f>
        <v>37.75</v>
      </c>
    </row>
    <row r="13" customFormat="false" ht="15" hidden="false" customHeight="false" outlineLevel="0" collapsed="false">
      <c r="A13" s="4" t="s">
        <v>18</v>
      </c>
      <c r="B13" s="4" t="s">
        <v>19</v>
      </c>
      <c r="C13" s="4" t="n">
        <f aca="false">COUNTIFS('All scored'!$A$2:$A$64,A13,'All scored'!$B$2:$B$64,B13)</f>
        <v>3</v>
      </c>
      <c r="D13" s="4" t="n">
        <f aca="false">COUNTIFS('All scored'!$A$2:$A$64,A13,'All scored'!$B$2:$B$64,B13,'All scored'!$M$2:$M$64,"Pass")</f>
        <v>2</v>
      </c>
      <c r="E13" s="4" t="n">
        <f aca="false">COUNTIFS('All scored'!$A$2:$A$64,A13,'All scored'!$B$2:$B$64,B13,'All scored'!$M$2:$M$64,"Fail")</f>
        <v>1</v>
      </c>
      <c r="F13" s="4" t="str">
        <f aca="false">INDEX('All scored'!$D$2:$D$64,MATCH(1,INDEX(('All scored'!$A$2:$A$64=A13)*('All scored'!$B$2:$B$64=B13)*('All scored'!$L$2:$L$64=1),0),0))</f>
        <v>Elang Mahkota Teknologi</v>
      </c>
      <c r="G13" s="5" t="n">
        <f aca="false">SUMPRODUCT(MAX(('All scored'!$A$2:$A$64=A13)*('All scored'!$B$2:$B$64=B13)*'All scored'!$K$2:$K$64))</f>
        <v>57</v>
      </c>
      <c r="H13" s="5" t="n">
        <f aca="false">AVERAGEIFS('All scored'!$K$2:$K$64,'All scored'!$A$2:$A$64,A13,'All scored'!$B$2:$B$64,B13)</f>
        <v>44</v>
      </c>
    </row>
    <row r="14" customFormat="false" ht="15" hidden="false" customHeight="false" outlineLevel="0" collapsed="false">
      <c r="A14" s="4" t="s">
        <v>18</v>
      </c>
      <c r="B14" s="4" t="s">
        <v>20</v>
      </c>
      <c r="C14" s="4" t="n">
        <f aca="false">COUNTIFS('All scored'!$A$2:$A$64,A14,'All scored'!$B$2:$B$64,B14)</f>
        <v>4</v>
      </c>
      <c r="D14" s="4" t="n">
        <f aca="false">COUNTIFS('All scored'!$A$2:$A$64,A14,'All scored'!$B$2:$B$64,B14,'All scored'!$M$2:$M$64,"Pass")</f>
        <v>2</v>
      </c>
      <c r="E14" s="4" t="n">
        <f aca="false">COUNTIFS('All scored'!$A$2:$A$64,A14,'All scored'!$B$2:$B$64,B14,'All scored'!$M$2:$M$64,"Fail")</f>
        <v>2</v>
      </c>
      <c r="F14" s="4" t="str">
        <f aca="false">INDEX('All scored'!$D$2:$D$64,MATCH(1,INDEX(('All scored'!$A$2:$A$64=A14)*('All scored'!$B$2:$B$64=B14)*('All scored'!$L$2:$L$64=1),0),0))</f>
        <v>Astra Agro Lestari</v>
      </c>
      <c r="G14" s="5" t="n">
        <f aca="false">SUMPRODUCT(MAX(('All scored'!$A$2:$A$64=A14)*('All scored'!$B$2:$B$64=B14)*'All scored'!$K$2:$K$64))</f>
        <v>35</v>
      </c>
      <c r="H14" s="5" t="n">
        <f aca="false">AVERAGEIFS('All scored'!$K$2:$K$64,'All scored'!$A$2:$A$64,A14,'All scored'!$B$2:$B$64,B14)</f>
        <v>31.5</v>
      </c>
    </row>
    <row r="15" customFormat="false" ht="15" hidden="false" customHeight="false" outlineLevel="0" collapsed="false">
      <c r="A15" s="4" t="s">
        <v>18</v>
      </c>
      <c r="B15" s="4" t="s">
        <v>11</v>
      </c>
      <c r="C15" s="4" t="n">
        <f aca="false">COUNTIFS('All scored'!$A$2:$A$64,A15,'All scored'!$B$2:$B$64,B15)</f>
        <v>2</v>
      </c>
      <c r="D15" s="4" t="n">
        <f aca="false">COUNTIFS('All scored'!$A$2:$A$64,A15,'All scored'!$B$2:$B$64,B15,'All scored'!$M$2:$M$64,"Pass")</f>
        <v>1</v>
      </c>
      <c r="E15" s="4" t="n">
        <f aca="false">COUNTIFS('All scored'!$A$2:$A$64,A15,'All scored'!$B$2:$B$64,B15,'All scored'!$M$2:$M$64,"Fail")</f>
        <v>1</v>
      </c>
      <c r="F15" s="4" t="str">
        <f aca="false">INDEX('All scored'!$D$2:$D$64,MATCH(1,INDEX(('All scored'!$A$2:$A$64=A15)*('All scored'!$B$2:$B$64=B15)*('All scored'!$L$2:$L$64=1),0),0))</f>
        <v>Bank Mandiri</v>
      </c>
      <c r="G15" s="5" t="n">
        <f aca="false">SUMPRODUCT(MAX(('All scored'!$A$2:$A$64=A15)*('All scored'!$B$2:$B$64=B15)*'All scored'!$K$2:$K$64))</f>
        <v>56</v>
      </c>
      <c r="H15" s="5" t="n">
        <f aca="false">AVERAGEIFS('All scored'!$K$2:$K$64,'All scored'!$A$2:$A$64,A15,'All scored'!$B$2:$B$64,B15)</f>
        <v>54.5</v>
      </c>
    </row>
    <row r="16" customFormat="false" ht="15" hidden="false" customHeight="false" outlineLevel="0" collapsed="false">
      <c r="A16" s="4" t="s">
        <v>21</v>
      </c>
      <c r="B16" s="4" t="s">
        <v>11</v>
      </c>
      <c r="C16" s="4" t="n">
        <f aca="false">COUNTIFS('All scored'!$A$2:$A$64,A16,'All scored'!$B$2:$B$64,B16)</f>
        <v>5</v>
      </c>
      <c r="D16" s="4" t="n">
        <f aca="false">COUNTIFS('All scored'!$A$2:$A$64,A16,'All scored'!$B$2:$B$64,B16,'All scored'!$M$2:$M$64,"Pass")</f>
        <v>3</v>
      </c>
      <c r="E16" s="4" t="n">
        <f aca="false">COUNTIFS('All scored'!$A$2:$A$64,A16,'All scored'!$B$2:$B$64,B16,'All scored'!$M$2:$M$64,"Fail")</f>
        <v>2</v>
      </c>
      <c r="F16" s="4" t="str">
        <f aca="false">INDEX('All scored'!$D$2:$D$64,MATCH(1,INDEX(('All scored'!$A$2:$A$64=A16)*('All scored'!$B$2:$B$64=B16)*('All scored'!$L$2:$L$64=1),0),0))</f>
        <v>UOB</v>
      </c>
      <c r="G16" s="5" t="n">
        <f aca="false">SUMPRODUCT(MAX(('All scored'!$A$2:$A$64=A16)*('All scored'!$B$2:$B$64=B16)*'All scored'!$K$2:$K$64))</f>
        <v>53</v>
      </c>
      <c r="H16" s="5" t="n">
        <f aca="false">AVERAGEIFS('All scored'!$K$2:$K$64,'All scored'!$A$2:$A$64,A16,'All scored'!$B$2:$B$64,B16)</f>
        <v>43.6</v>
      </c>
    </row>
    <row r="17" customFormat="false" ht="15" hidden="false" customHeight="false" outlineLevel="0" collapsed="false">
      <c r="A17" s="4" t="s">
        <v>21</v>
      </c>
      <c r="B17" s="4" t="s">
        <v>13</v>
      </c>
      <c r="C17" s="4" t="n">
        <f aca="false">COUNTIFS('All scored'!$A$2:$A$64,A17,'All scored'!$B$2:$B$64,B17)</f>
        <v>4</v>
      </c>
      <c r="D17" s="4" t="n">
        <f aca="false">COUNTIFS('All scored'!$A$2:$A$64,A17,'All scored'!$B$2:$B$64,B17,'All scored'!$M$2:$M$64,"Pass")</f>
        <v>2</v>
      </c>
      <c r="E17" s="4" t="n">
        <f aca="false">COUNTIFS('All scored'!$A$2:$A$64,A17,'All scored'!$B$2:$B$64,B17,'All scored'!$M$2:$M$64,"Fail")</f>
        <v>2</v>
      </c>
      <c r="F17" s="4" t="str">
        <f aca="false">INDEX('All scored'!$D$2:$D$64,MATCH(1,INDEX(('All scored'!$A$2:$A$64=A17)*('All scored'!$B$2:$B$64=B17)*('All scored'!$L$2:$L$64=1),0),0))</f>
        <v>SATS</v>
      </c>
      <c r="G17" s="5" t="n">
        <f aca="false">SUMPRODUCT(MAX(('All scored'!$A$2:$A$64=A17)*('All scored'!$B$2:$B$64=B17)*'All scored'!$K$2:$K$64))</f>
        <v>36</v>
      </c>
      <c r="H17" s="5" t="n">
        <f aca="false">AVERAGEIFS('All scored'!$K$2:$K$64,'All scored'!$A$2:$A$64,A17,'All scored'!$B$2:$B$64,B17)</f>
        <v>30</v>
      </c>
    </row>
    <row r="18" customFormat="false" ht="15" hidden="false" customHeight="false" outlineLevel="0" collapsed="false">
      <c r="A18" s="4" t="s">
        <v>21</v>
      </c>
      <c r="B18" s="4" t="s">
        <v>22</v>
      </c>
      <c r="C18" s="4" t="n">
        <f aca="false">COUNTIFS('All scored'!$A$2:$A$64,A18,'All scored'!$B$2:$B$64,B18)</f>
        <v>4</v>
      </c>
      <c r="D18" s="4" t="n">
        <f aca="false">COUNTIFS('All scored'!$A$2:$A$64,A18,'All scored'!$B$2:$B$64,B18,'All scored'!$M$2:$M$64,"Pass")</f>
        <v>2</v>
      </c>
      <c r="E18" s="4" t="n">
        <f aca="false">COUNTIFS('All scored'!$A$2:$A$64,A18,'All scored'!$B$2:$B$64,B18,'All scored'!$M$2:$M$64,"Fail")</f>
        <v>2</v>
      </c>
      <c r="F18" s="4" t="str">
        <f aca="false">INDEX('All scored'!$D$2:$D$64,MATCH(1,INDEX(('All scored'!$A$2:$A$64=A18)*('All scored'!$B$2:$B$64=B18)*('All scored'!$L$2:$L$64=1),0),0))</f>
        <v>CapitaLand Integrated Commercial Trust</v>
      </c>
      <c r="G18" s="5" t="n">
        <f aca="false">SUMPRODUCT(MAX(('All scored'!$A$2:$A$64=A18)*('All scored'!$B$2:$B$64=B18)*'All scored'!$K$2:$K$64))</f>
        <v>34</v>
      </c>
      <c r="H18" s="5" t="n">
        <f aca="false">AVERAGEIFS('All scored'!$K$2:$K$64,'All scored'!$A$2:$A$64,A18,'All scored'!$B$2:$B$64,B18)</f>
        <v>21.5</v>
      </c>
    </row>
    <row r="19" customFormat="false" ht="15" hidden="false" customHeight="false" outlineLevel="0" collapsed="false">
      <c r="A19" s="6" t="s">
        <v>23</v>
      </c>
      <c r="C19" s="6" t="n">
        <f aca="false">SUM(C5:C18)</f>
        <v>63</v>
      </c>
      <c r="D19" s="6" t="n">
        <f aca="false">SUM(D5:D18)</f>
        <v>35</v>
      </c>
      <c r="E19" s="6" t="n">
        <f aca="false">SUM(E5:E18)</f>
        <v>28</v>
      </c>
      <c r="H19" s="7" t="n">
        <f aca="false">AVERAGE('All scored'!$K$2:$K$64)</f>
        <v>34.1428571428571</v>
      </c>
    </row>
    <row r="21" customFormat="false" ht="15" hidden="false" customHeight="false" outlineLevel="0" collapsed="false">
      <c r="A21" s="8" t="s">
        <v>24</v>
      </c>
    </row>
    <row r="22" customFormat="false" ht="15" hidden="false" customHeight="false" outlineLevel="0" collapsed="false">
      <c r="A22" s="8"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4"/>
    <col collapsed="false" customWidth="true" hidden="false" outlineLevel="0" max="3" min="3" style="0" width="7"/>
    <col collapsed="false" customWidth="true" hidden="false" outlineLevel="0" max="4" min="4" style="0" width="12"/>
    <col collapsed="false" customWidth="true" hidden="false" outlineLevel="0" max="5" min="5" style="0" width="40"/>
    <col collapsed="false" customWidth="true" hidden="false" outlineLevel="0" max="6" min="6" style="0" width="10"/>
    <col collapsed="false" customWidth="true" hidden="false" outlineLevel="0" max="7" min="7" style="0" width="70"/>
  </cols>
  <sheetData>
    <row r="1" customFormat="false" ht="30" hidden="false" customHeight="true" outlineLevel="0" collapsed="false">
      <c r="A1" s="3" t="s">
        <v>2</v>
      </c>
      <c r="B1" s="3" t="s">
        <v>3</v>
      </c>
      <c r="C1" s="3" t="s">
        <v>26</v>
      </c>
      <c r="D1" s="3" t="s">
        <v>27</v>
      </c>
      <c r="E1" s="3" t="s">
        <v>28</v>
      </c>
      <c r="F1" s="3" t="s">
        <v>29</v>
      </c>
      <c r="G1" s="3" t="s">
        <v>30</v>
      </c>
    </row>
    <row r="2" customFormat="false" ht="15" hidden="false" customHeight="false" outlineLevel="0" collapsed="false">
      <c r="A2" s="9" t="s">
        <v>10</v>
      </c>
      <c r="B2" s="9" t="s">
        <v>11</v>
      </c>
      <c r="C2" s="9" t="n">
        <v>1</v>
      </c>
      <c r="D2" s="9" t="s">
        <v>31</v>
      </c>
      <c r="E2" s="9" t="s">
        <v>32</v>
      </c>
      <c r="F2" s="10" t="n">
        <v>32</v>
      </c>
      <c r="G2" s="9" t="s">
        <v>33</v>
      </c>
    </row>
    <row r="3" customFormat="false" ht="15" hidden="false" customHeight="false" outlineLevel="0" collapsed="false">
      <c r="A3" s="9" t="s">
        <v>10</v>
      </c>
      <c r="B3" s="9" t="s">
        <v>11</v>
      </c>
      <c r="C3" s="9" t="n">
        <v>2</v>
      </c>
      <c r="D3" s="9" t="s">
        <v>34</v>
      </c>
      <c r="E3" s="9" t="s">
        <v>35</v>
      </c>
      <c r="F3" s="10" t="n">
        <v>30</v>
      </c>
      <c r="G3" s="9" t="s">
        <v>36</v>
      </c>
    </row>
    <row r="4" customFormat="false" ht="15" hidden="false" customHeight="false" outlineLevel="0" collapsed="false">
      <c r="A4" s="9" t="s">
        <v>10</v>
      </c>
      <c r="B4" s="9" t="s">
        <v>12</v>
      </c>
      <c r="C4" s="9" t="n">
        <v>1</v>
      </c>
      <c r="D4" s="9" t="s">
        <v>37</v>
      </c>
      <c r="E4" s="9" t="s">
        <v>38</v>
      </c>
      <c r="F4" s="10" t="n">
        <v>31</v>
      </c>
      <c r="G4" s="9" t="s">
        <v>39</v>
      </c>
    </row>
    <row r="5" customFormat="false" ht="15" hidden="false" customHeight="false" outlineLevel="0" collapsed="false">
      <c r="A5" s="9" t="s">
        <v>10</v>
      </c>
      <c r="B5" s="9" t="s">
        <v>12</v>
      </c>
      <c r="C5" s="9" t="n">
        <v>2</v>
      </c>
      <c r="D5" s="9" t="s">
        <v>40</v>
      </c>
      <c r="E5" s="9" t="s">
        <v>41</v>
      </c>
      <c r="F5" s="10" t="n">
        <v>29</v>
      </c>
      <c r="G5" s="9" t="s">
        <v>42</v>
      </c>
    </row>
    <row r="6" customFormat="false" ht="15" hidden="false" customHeight="false" outlineLevel="0" collapsed="false">
      <c r="A6" s="9" t="s">
        <v>10</v>
      </c>
      <c r="B6" s="9" t="s">
        <v>12</v>
      </c>
      <c r="C6" s="9" t="n">
        <v>3</v>
      </c>
      <c r="D6" s="9" t="s">
        <v>43</v>
      </c>
      <c r="E6" s="9" t="s">
        <v>44</v>
      </c>
      <c r="F6" s="10" t="n">
        <v>27</v>
      </c>
      <c r="G6" s="9" t="s">
        <v>45</v>
      </c>
    </row>
    <row r="7" customFormat="false" ht="15" hidden="false" customHeight="false" outlineLevel="0" collapsed="false">
      <c r="A7" s="9" t="s">
        <v>10</v>
      </c>
      <c r="B7" s="9" t="s">
        <v>13</v>
      </c>
      <c r="C7" s="9" t="n">
        <v>1</v>
      </c>
      <c r="D7" s="9" t="s">
        <v>46</v>
      </c>
      <c r="E7" s="9" t="s">
        <v>47</v>
      </c>
      <c r="F7" s="10" t="n">
        <v>26</v>
      </c>
      <c r="G7" s="9" t="s">
        <v>48</v>
      </c>
    </row>
    <row r="8" customFormat="false" ht="15" hidden="false" customHeight="false" outlineLevel="0" collapsed="false">
      <c r="A8" s="9" t="s">
        <v>10</v>
      </c>
      <c r="B8" s="9" t="s">
        <v>13</v>
      </c>
      <c r="C8" s="9" t="n">
        <v>2</v>
      </c>
      <c r="D8" s="9" t="s">
        <v>49</v>
      </c>
      <c r="E8" s="9" t="s">
        <v>50</v>
      </c>
      <c r="F8" s="10" t="n">
        <v>23</v>
      </c>
      <c r="G8" s="9" t="s">
        <v>51</v>
      </c>
    </row>
    <row r="9" customFormat="false" ht="15" hidden="false" customHeight="false" outlineLevel="0" collapsed="false">
      <c r="A9" s="9" t="s">
        <v>10</v>
      </c>
      <c r="B9" s="9" t="s">
        <v>13</v>
      </c>
      <c r="C9" s="9" t="n">
        <v>2</v>
      </c>
      <c r="D9" s="9" t="s">
        <v>52</v>
      </c>
      <c r="E9" s="9" t="s">
        <v>53</v>
      </c>
      <c r="F9" s="10" t="n">
        <v>23</v>
      </c>
      <c r="G9" s="9" t="s">
        <v>54</v>
      </c>
    </row>
    <row r="10" customFormat="false" ht="15" hidden="false" customHeight="false" outlineLevel="0" collapsed="false">
      <c r="A10" s="9" t="s">
        <v>14</v>
      </c>
      <c r="B10" s="9" t="s">
        <v>12</v>
      </c>
      <c r="C10" s="9" t="n">
        <v>1</v>
      </c>
      <c r="D10" s="9" t="s">
        <v>55</v>
      </c>
      <c r="E10" s="9" t="s">
        <v>56</v>
      </c>
      <c r="F10" s="10" t="n">
        <v>43</v>
      </c>
      <c r="G10" s="9" t="s">
        <v>57</v>
      </c>
    </row>
    <row r="11" customFormat="false" ht="15" hidden="false" customHeight="false" outlineLevel="0" collapsed="false">
      <c r="A11" s="9" t="s">
        <v>14</v>
      </c>
      <c r="B11" s="9" t="s">
        <v>12</v>
      </c>
      <c r="C11" s="9" t="n">
        <v>2</v>
      </c>
      <c r="D11" s="9" t="s">
        <v>58</v>
      </c>
      <c r="E11" s="9" t="s">
        <v>59</v>
      </c>
      <c r="F11" s="10" t="n">
        <v>40</v>
      </c>
      <c r="G11" s="9" t="s">
        <v>60</v>
      </c>
    </row>
    <row r="12" customFormat="false" ht="15" hidden="false" customHeight="false" outlineLevel="0" collapsed="false">
      <c r="A12" s="9" t="s">
        <v>14</v>
      </c>
      <c r="B12" s="9" t="s">
        <v>12</v>
      </c>
      <c r="C12" s="9" t="n">
        <v>3</v>
      </c>
      <c r="D12" s="9" t="s">
        <v>61</v>
      </c>
      <c r="E12" s="9" t="s">
        <v>62</v>
      </c>
      <c r="F12" s="10" t="n">
        <v>36</v>
      </c>
      <c r="G12" s="9" t="s">
        <v>63</v>
      </c>
    </row>
    <row r="13" customFormat="false" ht="15" hidden="false" customHeight="false" outlineLevel="0" collapsed="false">
      <c r="A13" s="9" t="s">
        <v>14</v>
      </c>
      <c r="B13" s="9" t="s">
        <v>13</v>
      </c>
      <c r="C13" s="9" t="n">
        <v>1</v>
      </c>
      <c r="D13" s="9" t="s">
        <v>64</v>
      </c>
      <c r="E13" s="9" t="s">
        <v>65</v>
      </c>
      <c r="F13" s="10" t="n">
        <v>30</v>
      </c>
      <c r="G13" s="9" t="s">
        <v>66</v>
      </c>
    </row>
    <row r="14" customFormat="false" ht="15" hidden="false" customHeight="false" outlineLevel="0" collapsed="false">
      <c r="A14" s="9" t="s">
        <v>14</v>
      </c>
      <c r="B14" s="9" t="s">
        <v>13</v>
      </c>
      <c r="C14" s="9" t="n">
        <v>2</v>
      </c>
      <c r="D14" s="9" t="s">
        <v>67</v>
      </c>
      <c r="E14" s="9" t="s">
        <v>68</v>
      </c>
      <c r="F14" s="10" t="n">
        <v>29</v>
      </c>
      <c r="G14" s="9" t="s">
        <v>69</v>
      </c>
    </row>
    <row r="15" customFormat="false" ht="15" hidden="false" customHeight="false" outlineLevel="0" collapsed="false">
      <c r="A15" s="9" t="s">
        <v>14</v>
      </c>
      <c r="B15" s="9" t="s">
        <v>15</v>
      </c>
      <c r="C15" s="9" t="n">
        <v>1</v>
      </c>
      <c r="D15" s="9" t="s">
        <v>70</v>
      </c>
      <c r="E15" s="9" t="s">
        <v>71</v>
      </c>
      <c r="F15" s="10" t="n">
        <v>57</v>
      </c>
      <c r="G15" s="9" t="s">
        <v>72</v>
      </c>
    </row>
    <row r="16" customFormat="false" ht="15" hidden="false" customHeight="false" outlineLevel="0" collapsed="false">
      <c r="A16" s="9" t="s">
        <v>14</v>
      </c>
      <c r="B16" s="9" t="s">
        <v>15</v>
      </c>
      <c r="C16" s="9" t="n">
        <v>2</v>
      </c>
      <c r="D16" s="9" t="s">
        <v>73</v>
      </c>
      <c r="E16" s="9" t="s">
        <v>74</v>
      </c>
      <c r="F16" s="10" t="n">
        <v>53</v>
      </c>
      <c r="G16" s="9" t="s">
        <v>75</v>
      </c>
    </row>
    <row r="17" customFormat="false" ht="15" hidden="false" customHeight="false" outlineLevel="0" collapsed="false">
      <c r="A17" s="9" t="s">
        <v>16</v>
      </c>
      <c r="B17" s="9" t="s">
        <v>11</v>
      </c>
      <c r="C17" s="9" t="n">
        <v>1</v>
      </c>
      <c r="D17" s="9" t="s">
        <v>76</v>
      </c>
      <c r="E17" s="9" t="s">
        <v>77</v>
      </c>
      <c r="F17" s="10" t="n">
        <v>57</v>
      </c>
      <c r="G17" s="9" t="s">
        <v>78</v>
      </c>
    </row>
    <row r="18" customFormat="false" ht="15" hidden="false" customHeight="false" outlineLevel="0" collapsed="false">
      <c r="A18" s="9" t="s">
        <v>16</v>
      </c>
      <c r="B18" s="9" t="s">
        <v>11</v>
      </c>
      <c r="C18" s="9" t="n">
        <v>1</v>
      </c>
      <c r="D18" s="9" t="s">
        <v>79</v>
      </c>
      <c r="E18" s="9" t="s">
        <v>80</v>
      </c>
      <c r="F18" s="10" t="n">
        <v>57</v>
      </c>
      <c r="G18" s="9" t="s">
        <v>81</v>
      </c>
    </row>
    <row r="19" customFormat="false" ht="15" hidden="false" customHeight="false" outlineLevel="0" collapsed="false">
      <c r="A19" s="9" t="s">
        <v>16</v>
      </c>
      <c r="B19" s="9" t="s">
        <v>11</v>
      </c>
      <c r="C19" s="9" t="n">
        <v>3</v>
      </c>
      <c r="D19" s="9" t="s">
        <v>82</v>
      </c>
      <c r="E19" s="9" t="s">
        <v>83</v>
      </c>
      <c r="F19" s="10" t="n">
        <v>49</v>
      </c>
      <c r="G19" s="9" t="s">
        <v>84</v>
      </c>
    </row>
    <row r="20" customFormat="false" ht="15" hidden="false" customHeight="false" outlineLevel="0" collapsed="false">
      <c r="A20" s="9" t="s">
        <v>16</v>
      </c>
      <c r="B20" s="9" t="s">
        <v>17</v>
      </c>
      <c r="C20" s="9" t="n">
        <v>1</v>
      </c>
      <c r="D20" s="9" t="s">
        <v>85</v>
      </c>
      <c r="E20" s="9" t="s">
        <v>86</v>
      </c>
      <c r="F20" s="10" t="n">
        <v>54</v>
      </c>
      <c r="G20" s="9" t="s">
        <v>87</v>
      </c>
    </row>
    <row r="21" customFormat="false" ht="15" hidden="false" customHeight="false" outlineLevel="0" collapsed="false">
      <c r="A21" s="9" t="s">
        <v>16</v>
      </c>
      <c r="B21" s="9" t="s">
        <v>17</v>
      </c>
      <c r="C21" s="9" t="n">
        <v>2</v>
      </c>
      <c r="D21" s="9" t="s">
        <v>88</v>
      </c>
      <c r="E21" s="9" t="s">
        <v>89</v>
      </c>
      <c r="F21" s="10" t="n">
        <v>46</v>
      </c>
      <c r="G21" s="9" t="s">
        <v>90</v>
      </c>
    </row>
    <row r="22" customFormat="false" ht="15" hidden="false" customHeight="false" outlineLevel="0" collapsed="false">
      <c r="A22" s="9" t="s">
        <v>16</v>
      </c>
      <c r="B22" s="9" t="s">
        <v>17</v>
      </c>
      <c r="C22" s="9" t="n">
        <v>3</v>
      </c>
      <c r="D22" s="9" t="s">
        <v>91</v>
      </c>
      <c r="E22" s="9" t="s">
        <v>92</v>
      </c>
      <c r="F22" s="10" t="n">
        <v>43</v>
      </c>
      <c r="G22" s="9" t="s">
        <v>93</v>
      </c>
    </row>
    <row r="23" customFormat="false" ht="15" hidden="false" customHeight="false" outlineLevel="0" collapsed="false">
      <c r="A23" s="9" t="s">
        <v>16</v>
      </c>
      <c r="B23" s="9" t="s">
        <v>17</v>
      </c>
      <c r="C23" s="9" t="n">
        <v>3</v>
      </c>
      <c r="D23" s="9" t="s">
        <v>94</v>
      </c>
      <c r="E23" s="9" t="s">
        <v>95</v>
      </c>
      <c r="F23" s="10" t="n">
        <v>43</v>
      </c>
      <c r="G23" s="9" t="s">
        <v>96</v>
      </c>
    </row>
    <row r="24" customFormat="false" ht="15" hidden="false" customHeight="false" outlineLevel="0" collapsed="false">
      <c r="A24" s="9" t="s">
        <v>16</v>
      </c>
      <c r="B24" s="9" t="s">
        <v>17</v>
      </c>
      <c r="C24" s="9" t="n">
        <v>3</v>
      </c>
      <c r="D24" s="9" t="s">
        <v>97</v>
      </c>
      <c r="E24" s="9" t="s">
        <v>98</v>
      </c>
      <c r="F24" s="10" t="n">
        <v>43</v>
      </c>
      <c r="G24" s="9" t="s">
        <v>99</v>
      </c>
    </row>
    <row r="25" customFormat="false" ht="15" hidden="false" customHeight="false" outlineLevel="0" collapsed="false">
      <c r="A25" s="9" t="s">
        <v>18</v>
      </c>
      <c r="B25" s="9" t="s">
        <v>19</v>
      </c>
      <c r="C25" s="9" t="n">
        <v>1</v>
      </c>
      <c r="D25" s="9" t="s">
        <v>100</v>
      </c>
      <c r="E25" s="9" t="s">
        <v>101</v>
      </c>
      <c r="F25" s="10" t="n">
        <v>57</v>
      </c>
      <c r="G25" s="9" t="s">
        <v>102</v>
      </c>
    </row>
    <row r="26" customFormat="false" ht="15" hidden="false" customHeight="false" outlineLevel="0" collapsed="false">
      <c r="A26" s="9" t="s">
        <v>18</v>
      </c>
      <c r="B26" s="9" t="s">
        <v>19</v>
      </c>
      <c r="C26" s="9" t="n">
        <v>2</v>
      </c>
      <c r="D26" s="9" t="s">
        <v>103</v>
      </c>
      <c r="E26" s="9" t="s">
        <v>104</v>
      </c>
      <c r="F26" s="10" t="n">
        <v>53</v>
      </c>
      <c r="G26" s="9" t="s">
        <v>105</v>
      </c>
    </row>
    <row r="27" customFormat="false" ht="15" hidden="false" customHeight="false" outlineLevel="0" collapsed="false">
      <c r="A27" s="9" t="s">
        <v>18</v>
      </c>
      <c r="B27" s="9" t="s">
        <v>20</v>
      </c>
      <c r="C27" s="9" t="n">
        <v>1</v>
      </c>
      <c r="D27" s="9" t="s">
        <v>106</v>
      </c>
      <c r="E27" s="9" t="s">
        <v>107</v>
      </c>
      <c r="F27" s="10" t="n">
        <v>35</v>
      </c>
      <c r="G27" s="9" t="s">
        <v>108</v>
      </c>
    </row>
    <row r="28" customFormat="false" ht="15" hidden="false" customHeight="false" outlineLevel="0" collapsed="false">
      <c r="A28" s="9" t="s">
        <v>18</v>
      </c>
      <c r="B28" s="9" t="s">
        <v>20</v>
      </c>
      <c r="C28" s="9" t="n">
        <v>2</v>
      </c>
      <c r="D28" s="9" t="s">
        <v>109</v>
      </c>
      <c r="E28" s="9" t="s">
        <v>110</v>
      </c>
      <c r="F28" s="10" t="n">
        <v>32</v>
      </c>
      <c r="G28" s="9" t="s">
        <v>111</v>
      </c>
    </row>
    <row r="29" customFormat="false" ht="15" hidden="false" customHeight="false" outlineLevel="0" collapsed="false">
      <c r="A29" s="9" t="s">
        <v>18</v>
      </c>
      <c r="B29" s="9" t="s">
        <v>11</v>
      </c>
      <c r="C29" s="9" t="n">
        <v>1</v>
      </c>
      <c r="D29" s="9" t="s">
        <v>112</v>
      </c>
      <c r="E29" s="9" t="s">
        <v>113</v>
      </c>
      <c r="F29" s="10" t="n">
        <v>56</v>
      </c>
      <c r="G29" s="9" t="s">
        <v>114</v>
      </c>
    </row>
    <row r="30" customFormat="false" ht="15" hidden="false" customHeight="false" outlineLevel="0" collapsed="false">
      <c r="A30" s="9" t="s">
        <v>21</v>
      </c>
      <c r="B30" s="9" t="s">
        <v>11</v>
      </c>
      <c r="C30" s="9" t="n">
        <v>1</v>
      </c>
      <c r="D30" s="9" t="s">
        <v>115</v>
      </c>
      <c r="E30" s="9" t="s">
        <v>116</v>
      </c>
      <c r="F30" s="10" t="n">
        <v>53</v>
      </c>
      <c r="G30" s="9" t="s">
        <v>117</v>
      </c>
    </row>
    <row r="31" customFormat="false" ht="15" hidden="false" customHeight="false" outlineLevel="0" collapsed="false">
      <c r="A31" s="9" t="s">
        <v>21</v>
      </c>
      <c r="B31" s="9" t="s">
        <v>11</v>
      </c>
      <c r="C31" s="9" t="n">
        <v>2</v>
      </c>
      <c r="D31" s="9" t="s">
        <v>118</v>
      </c>
      <c r="E31" s="9" t="s">
        <v>119</v>
      </c>
      <c r="F31" s="10" t="n">
        <v>50</v>
      </c>
      <c r="G31" s="9" t="s">
        <v>120</v>
      </c>
    </row>
    <row r="32" customFormat="false" ht="15" hidden="false" customHeight="false" outlineLevel="0" collapsed="false">
      <c r="A32" s="9" t="s">
        <v>21</v>
      </c>
      <c r="B32" s="9" t="s">
        <v>11</v>
      </c>
      <c r="C32" s="9" t="n">
        <v>3</v>
      </c>
      <c r="D32" s="9" t="s">
        <v>121</v>
      </c>
      <c r="E32" s="9" t="s">
        <v>122</v>
      </c>
      <c r="F32" s="10" t="n">
        <v>49</v>
      </c>
      <c r="G32" s="9" t="s">
        <v>123</v>
      </c>
    </row>
    <row r="33" customFormat="false" ht="15" hidden="false" customHeight="false" outlineLevel="0" collapsed="false">
      <c r="A33" s="9" t="s">
        <v>21</v>
      </c>
      <c r="B33" s="9" t="s">
        <v>13</v>
      </c>
      <c r="C33" s="9" t="n">
        <v>1</v>
      </c>
      <c r="D33" s="9" t="s">
        <v>124</v>
      </c>
      <c r="E33" s="9" t="s">
        <v>125</v>
      </c>
      <c r="F33" s="10" t="n">
        <v>36</v>
      </c>
      <c r="G33" s="9" t="s">
        <v>126</v>
      </c>
    </row>
    <row r="34" customFormat="false" ht="15" hidden="false" customHeight="false" outlineLevel="0" collapsed="false">
      <c r="A34" s="9" t="s">
        <v>21</v>
      </c>
      <c r="B34" s="9" t="s">
        <v>13</v>
      </c>
      <c r="C34" s="9" t="n">
        <v>1</v>
      </c>
      <c r="D34" s="9" t="s">
        <v>127</v>
      </c>
      <c r="E34" s="9" t="s">
        <v>128</v>
      </c>
      <c r="F34" s="10" t="n">
        <v>36</v>
      </c>
      <c r="G34" s="9" t="s">
        <v>129</v>
      </c>
    </row>
    <row r="35" customFormat="false" ht="15" hidden="false" customHeight="false" outlineLevel="0" collapsed="false">
      <c r="A35" s="9" t="s">
        <v>21</v>
      </c>
      <c r="B35" s="9" t="s">
        <v>22</v>
      </c>
      <c r="C35" s="9" t="n">
        <v>1</v>
      </c>
      <c r="D35" s="9" t="s">
        <v>130</v>
      </c>
      <c r="E35" s="9" t="s">
        <v>131</v>
      </c>
      <c r="F35" s="10" t="n">
        <v>34</v>
      </c>
      <c r="G35" s="9" t="s">
        <v>132</v>
      </c>
    </row>
    <row r="36" customFormat="false" ht="15" hidden="false" customHeight="false" outlineLevel="0" collapsed="false">
      <c r="A36" s="9" t="s">
        <v>21</v>
      </c>
      <c r="B36" s="9" t="s">
        <v>22</v>
      </c>
      <c r="C36" s="9" t="n">
        <v>2</v>
      </c>
      <c r="D36" s="9" t="s">
        <v>133</v>
      </c>
      <c r="E36" s="9" t="s">
        <v>134</v>
      </c>
      <c r="F36" s="10" t="n">
        <v>20</v>
      </c>
      <c r="G36" s="9" t="s">
        <v>135</v>
      </c>
    </row>
    <row r="38" customFormat="false" ht="15" hidden="false" customHeight="false" outlineLevel="0" collapsed="false">
      <c r="A38" s="8" t="s">
        <v>136</v>
      </c>
    </row>
  </sheetData>
  <autoFilter ref="A1:G3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12"/>
    <col collapsed="false" customWidth="true" hidden="false" outlineLevel="0" max="4" min="4" style="0" width="34"/>
    <col collapsed="false" customWidth="true" hidden="false" outlineLevel="0" max="6" min="5" style="0" width="10"/>
    <col collapsed="false" customWidth="true" hidden="false" outlineLevel="0" max="7" min="7" style="0" width="11"/>
    <col collapsed="false" customWidth="true" hidden="false" outlineLevel="0" max="8" min="8" style="0" width="13"/>
    <col collapsed="false" customWidth="true" hidden="false" outlineLevel="0" max="9" min="9" style="0" width="11"/>
    <col collapsed="false" customWidth="true" hidden="false" outlineLevel="0" max="10" min="10" style="0" width="10"/>
    <col collapsed="false" customWidth="true" hidden="false" outlineLevel="0" max="11" min="11" style="0" width="9"/>
    <col collapsed="false" customWidth="true" hidden="false" outlineLevel="0" max="12" min="12" style="0" width="10"/>
    <col collapsed="false" customWidth="true" hidden="false" outlineLevel="0" max="13" min="13" style="0" width="9"/>
    <col collapsed="false" customWidth="true" hidden="false" outlineLevel="0" max="14" min="14" style="0" width="12"/>
    <col collapsed="false" customWidth="true" hidden="false" outlineLevel="0" max="15" min="15" style="0" width="11"/>
    <col collapsed="false" customWidth="true" hidden="false" outlineLevel="0" max="16" min="16" style="0" width="18"/>
    <col collapsed="false" customWidth="true" hidden="false" outlineLevel="0" max="17" min="17" style="0" width="30"/>
    <col collapsed="false" customWidth="true" hidden="false" outlineLevel="0" max="18" min="18" style="0" width="15"/>
    <col collapsed="false" customWidth="true" hidden="false" outlineLevel="0" max="19" min="19" style="0" width="8"/>
    <col collapsed="false" customWidth="true" hidden="false" outlineLevel="0" max="20" min="20" style="0" width="30"/>
    <col collapsed="false" customWidth="true" hidden="false" outlineLevel="0" max="21" min="21" style="0" width="40"/>
    <col collapsed="false" customWidth="true" hidden="false" outlineLevel="0" max="22" min="22" style="0" width="11"/>
    <col collapsed="false" customWidth="true" hidden="false" outlineLevel="0" max="23" min="23" style="0" width="9"/>
    <col collapsed="false" customWidth="true" hidden="false" outlineLevel="0" max="24" min="24" style="0" width="60"/>
    <col collapsed="false" customWidth="true" hidden="false" outlineLevel="0" max="25" min="25" style="0" width="50"/>
  </cols>
  <sheetData>
    <row r="1" customFormat="false" ht="30" hidden="false" customHeight="true" outlineLevel="0" collapsed="false">
      <c r="A1" s="3" t="s">
        <v>2</v>
      </c>
      <c r="B1" s="3" t="s">
        <v>3</v>
      </c>
      <c r="C1" s="3" t="s">
        <v>27</v>
      </c>
      <c r="D1" s="3" t="s">
        <v>28</v>
      </c>
      <c r="E1" s="3" t="s">
        <v>137</v>
      </c>
      <c r="F1" s="3" t="s">
        <v>138</v>
      </c>
      <c r="G1" s="3" t="s">
        <v>139</v>
      </c>
      <c r="H1" s="3" t="s">
        <v>140</v>
      </c>
      <c r="I1" s="3" t="s">
        <v>141</v>
      </c>
      <c r="J1" s="3" t="s">
        <v>142</v>
      </c>
      <c r="K1" s="3" t="s">
        <v>29</v>
      </c>
      <c r="L1" s="3" t="s">
        <v>143</v>
      </c>
      <c r="M1" s="3" t="s">
        <v>144</v>
      </c>
      <c r="N1" s="3" t="s">
        <v>145</v>
      </c>
      <c r="O1" s="3" t="s">
        <v>146</v>
      </c>
      <c r="P1" s="3" t="s">
        <v>147</v>
      </c>
      <c r="Q1" s="3" t="s">
        <v>148</v>
      </c>
      <c r="R1" s="3" t="s">
        <v>149</v>
      </c>
      <c r="S1" s="3" t="s">
        <v>150</v>
      </c>
      <c r="T1" s="3" t="s">
        <v>151</v>
      </c>
      <c r="U1" s="3" t="s">
        <v>152</v>
      </c>
      <c r="V1" s="3" t="s">
        <v>153</v>
      </c>
      <c r="W1" s="3" t="s">
        <v>154</v>
      </c>
      <c r="X1" s="3" t="s">
        <v>155</v>
      </c>
      <c r="Y1" s="3" t="s">
        <v>156</v>
      </c>
    </row>
    <row r="2" customFormat="false" ht="46.25" hidden="false" customHeight="false" outlineLevel="0" collapsed="false">
      <c r="A2" s="9" t="s">
        <v>10</v>
      </c>
      <c r="B2" s="9" t="s">
        <v>11</v>
      </c>
      <c r="C2" s="9" t="s">
        <v>31</v>
      </c>
      <c r="D2" s="11" t="s">
        <v>32</v>
      </c>
      <c r="E2" s="12" t="n">
        <v>0</v>
      </c>
      <c r="F2" s="12" t="n">
        <v>3</v>
      </c>
      <c r="G2" s="12" t="n">
        <v>2</v>
      </c>
      <c r="H2" s="12" t="n">
        <v>2</v>
      </c>
      <c r="I2" s="10" t="n">
        <f aca="false">E2/5*35+F2/5*30+G2/5*20+H2/5*15</f>
        <v>32</v>
      </c>
      <c r="J2" s="12" t="n">
        <v>0</v>
      </c>
      <c r="K2" s="10" t="n">
        <f aca="false">MAX(0,I2-J2)</f>
        <v>32</v>
      </c>
      <c r="L2" s="9" t="n">
        <f aca="false">COUNTIFS($A$2:$A$64,A2,$B$2:$B$64,B2,$K$2:$K$64,"&gt;"&amp;K2)+1</f>
        <v>1</v>
      </c>
      <c r="M2" s="9" t="str">
        <f aca="false">IF(L2&lt;=CEILING(COUNTIFS($A$2:$A$64,A2,$B$2:$B$64,B2)/2,1),"Pass","Fail")</f>
        <v>Pass</v>
      </c>
      <c r="N2" s="9"/>
      <c r="O2" s="9"/>
      <c r="P2" s="9"/>
      <c r="Q2" s="9" t="s">
        <v>157</v>
      </c>
      <c r="R2" s="9" t="s">
        <v>158</v>
      </c>
      <c r="S2" s="9" t="s">
        <v>159</v>
      </c>
      <c r="T2" s="9" t="s">
        <v>160</v>
      </c>
      <c r="U2" s="13" t="s">
        <v>161</v>
      </c>
      <c r="V2" s="9" t="s">
        <v>162</v>
      </c>
      <c r="W2" s="14" t="n">
        <v>39956</v>
      </c>
      <c r="X2" s="11" t="s">
        <v>163</v>
      </c>
      <c r="Y2" s="11"/>
    </row>
    <row r="3" customFormat="false" ht="35.05" hidden="false" customHeight="false" outlineLevel="0" collapsed="false">
      <c r="A3" s="9" t="s">
        <v>10</v>
      </c>
      <c r="B3" s="9" t="s">
        <v>11</v>
      </c>
      <c r="C3" s="9" t="s">
        <v>34</v>
      </c>
      <c r="D3" s="11" t="s">
        <v>35</v>
      </c>
      <c r="E3" s="12" t="n">
        <v>1</v>
      </c>
      <c r="F3" s="12" t="n">
        <v>2</v>
      </c>
      <c r="G3" s="12" t="n">
        <v>2</v>
      </c>
      <c r="H3" s="12" t="n">
        <v>1</v>
      </c>
      <c r="I3" s="10" t="n">
        <f aca="false">E3/5*35+F3/5*30+G3/5*20+H3/5*15</f>
        <v>30</v>
      </c>
      <c r="J3" s="12" t="n">
        <v>0</v>
      </c>
      <c r="K3" s="10" t="n">
        <f aca="false">MAX(0,I3-J3)</f>
        <v>30</v>
      </c>
      <c r="L3" s="9" t="n">
        <f aca="false">COUNTIFS($A$2:$A$64,A3,$B$2:$B$64,B3,$K$2:$K$64,"&gt;"&amp;K3)+1</f>
        <v>2</v>
      </c>
      <c r="M3" s="9" t="str">
        <f aca="false">IF(L3&lt;=CEILING(COUNTIFS($A$2:$A$64,A3,$B$2:$B$64,B3)/2,1),"Pass","Fail")</f>
        <v>Pass</v>
      </c>
      <c r="N3" s="9"/>
      <c r="O3" s="9"/>
      <c r="P3" s="9"/>
      <c r="Q3" s="9" t="s">
        <v>157</v>
      </c>
      <c r="R3" s="9" t="s">
        <v>158</v>
      </c>
      <c r="S3" s="9" t="s">
        <v>159</v>
      </c>
      <c r="T3" s="9" t="s">
        <v>164</v>
      </c>
      <c r="U3" s="13" t="s">
        <v>165</v>
      </c>
      <c r="V3" s="9" t="s">
        <v>162</v>
      </c>
      <c r="W3" s="14" t="n">
        <v>15216</v>
      </c>
      <c r="X3" s="11" t="s">
        <v>166</v>
      </c>
      <c r="Y3" s="11"/>
    </row>
    <row r="4" customFormat="false" ht="46.25" hidden="false" customHeight="false" outlineLevel="0" collapsed="false">
      <c r="A4" s="9" t="s">
        <v>10</v>
      </c>
      <c r="B4" s="9" t="s">
        <v>11</v>
      </c>
      <c r="C4" s="9" t="s">
        <v>167</v>
      </c>
      <c r="D4" s="11" t="s">
        <v>168</v>
      </c>
      <c r="E4" s="12" t="n">
        <v>0</v>
      </c>
      <c r="F4" s="12" t="n">
        <v>2</v>
      </c>
      <c r="G4" s="12" t="n">
        <v>2</v>
      </c>
      <c r="H4" s="12" t="n">
        <v>1</v>
      </c>
      <c r="I4" s="10" t="n">
        <f aca="false">E4/5*35+F4/5*30+G4/5*20+H4/5*15</f>
        <v>23</v>
      </c>
      <c r="J4" s="12" t="n">
        <v>0</v>
      </c>
      <c r="K4" s="10" t="n">
        <f aca="false">MAX(0,I4-J4)</f>
        <v>23</v>
      </c>
      <c r="L4" s="9" t="n">
        <f aca="false">COUNTIFS($A$2:$A$64,A4,$B$2:$B$64,B4,$K$2:$K$64,"&gt;"&amp;K4)+1</f>
        <v>3</v>
      </c>
      <c r="M4" s="9" t="str">
        <f aca="false">IF(L4&lt;=CEILING(COUNTIFS($A$2:$A$64,A4,$B$2:$B$64,B4)/2,1),"Pass","Fail")</f>
        <v>Fail</v>
      </c>
      <c r="N4" s="9"/>
      <c r="O4" s="9"/>
      <c r="P4" s="9"/>
      <c r="Q4" s="9" t="s">
        <v>157</v>
      </c>
      <c r="R4" s="9" t="s">
        <v>158</v>
      </c>
      <c r="S4" s="9" t="s">
        <v>159</v>
      </c>
      <c r="T4" s="9" t="s">
        <v>164</v>
      </c>
      <c r="U4" s="13" t="s">
        <v>169</v>
      </c>
      <c r="V4" s="9" t="s">
        <v>162</v>
      </c>
      <c r="W4" s="14" t="n">
        <v>17877</v>
      </c>
      <c r="X4" s="11" t="s">
        <v>170</v>
      </c>
      <c r="Y4" s="11" t="s">
        <v>171</v>
      </c>
    </row>
    <row r="5" customFormat="false" ht="35.05" hidden="false" customHeight="false" outlineLevel="0" collapsed="false">
      <c r="A5" s="9" t="s">
        <v>10</v>
      </c>
      <c r="B5" s="9" t="s">
        <v>11</v>
      </c>
      <c r="C5" s="9" t="s">
        <v>172</v>
      </c>
      <c r="D5" s="11" t="s">
        <v>173</v>
      </c>
      <c r="E5" s="12" t="n">
        <v>0</v>
      </c>
      <c r="F5" s="12" t="n">
        <v>2</v>
      </c>
      <c r="G5" s="12" t="n">
        <v>1</v>
      </c>
      <c r="H5" s="12" t="n">
        <v>1</v>
      </c>
      <c r="I5" s="10" t="n">
        <f aca="false">E5/5*35+F5/5*30+G5/5*20+H5/5*15</f>
        <v>19</v>
      </c>
      <c r="J5" s="12" t="n">
        <v>0</v>
      </c>
      <c r="K5" s="10" t="n">
        <f aca="false">MAX(0,I5-J5)</f>
        <v>19</v>
      </c>
      <c r="L5" s="9" t="n">
        <f aca="false">COUNTIFS($A$2:$A$64,A5,$B$2:$B$64,B5,$K$2:$K$64,"&gt;"&amp;K5)+1</f>
        <v>4</v>
      </c>
      <c r="M5" s="9" t="str">
        <f aca="false">IF(L5&lt;=CEILING(COUNTIFS($A$2:$A$64,A5,$B$2:$B$64,B5)/2,1),"Pass","Fail")</f>
        <v>Fail</v>
      </c>
      <c r="N5" s="9"/>
      <c r="O5" s="9"/>
      <c r="P5" s="9" t="s">
        <v>174</v>
      </c>
      <c r="Q5" s="9" t="s">
        <v>157</v>
      </c>
      <c r="R5" s="9" t="s">
        <v>158</v>
      </c>
      <c r="S5" s="9" t="s">
        <v>159</v>
      </c>
      <c r="T5" s="9" t="s">
        <v>164</v>
      </c>
      <c r="U5" s="13" t="s">
        <v>175</v>
      </c>
      <c r="V5" s="9" t="s">
        <v>176</v>
      </c>
      <c r="W5" s="14" t="n">
        <v>10204</v>
      </c>
      <c r="X5" s="11" t="s">
        <v>177</v>
      </c>
      <c r="Y5" s="11" t="s">
        <v>178</v>
      </c>
    </row>
    <row r="6" customFormat="false" ht="46.25" hidden="false" customHeight="false" outlineLevel="0" collapsed="false">
      <c r="A6" s="9" t="s">
        <v>10</v>
      </c>
      <c r="B6" s="9" t="s">
        <v>12</v>
      </c>
      <c r="C6" s="9" t="s">
        <v>37</v>
      </c>
      <c r="D6" s="11" t="s">
        <v>38</v>
      </c>
      <c r="E6" s="12" t="n">
        <v>0</v>
      </c>
      <c r="F6" s="12" t="n">
        <v>2</v>
      </c>
      <c r="G6" s="12" t="n">
        <v>4</v>
      </c>
      <c r="H6" s="12" t="n">
        <v>1</v>
      </c>
      <c r="I6" s="10" t="n">
        <f aca="false">E6/5*35+F6/5*30+G6/5*20+H6/5*15</f>
        <v>31</v>
      </c>
      <c r="J6" s="12" t="n">
        <v>0</v>
      </c>
      <c r="K6" s="10" t="n">
        <f aca="false">MAX(0,I6-J6)</f>
        <v>31</v>
      </c>
      <c r="L6" s="9" t="n">
        <f aca="false">COUNTIFS($A$2:$A$64,A6,$B$2:$B$64,B6,$K$2:$K$64,"&gt;"&amp;K6)+1</f>
        <v>1</v>
      </c>
      <c r="M6" s="9" t="str">
        <f aca="false">IF(L6&lt;=CEILING(COUNTIFS($A$2:$A$64,A6,$B$2:$B$64,B6)/2,1),"Pass","Fail")</f>
        <v>Pass</v>
      </c>
      <c r="N6" s="9"/>
      <c r="O6" s="9"/>
      <c r="P6" s="9"/>
      <c r="Q6" s="9" t="s">
        <v>157</v>
      </c>
      <c r="R6" s="9" t="s">
        <v>158</v>
      </c>
      <c r="S6" s="9" t="s">
        <v>159</v>
      </c>
      <c r="T6" s="9" t="s">
        <v>160</v>
      </c>
      <c r="U6" s="13" t="s">
        <v>179</v>
      </c>
      <c r="V6" s="9" t="s">
        <v>162</v>
      </c>
      <c r="W6" s="14" t="n">
        <v>34662</v>
      </c>
      <c r="X6" s="11" t="s">
        <v>180</v>
      </c>
      <c r="Y6" s="11"/>
    </row>
    <row r="7" customFormat="false" ht="46.25" hidden="false" customHeight="false" outlineLevel="0" collapsed="false">
      <c r="A7" s="9" t="s">
        <v>10</v>
      </c>
      <c r="B7" s="9" t="s">
        <v>12</v>
      </c>
      <c r="C7" s="9" t="s">
        <v>40</v>
      </c>
      <c r="D7" s="11" t="s">
        <v>41</v>
      </c>
      <c r="E7" s="12" t="n">
        <v>0</v>
      </c>
      <c r="F7" s="12" t="n">
        <v>3</v>
      </c>
      <c r="G7" s="12" t="n">
        <v>2</v>
      </c>
      <c r="H7" s="12" t="n">
        <v>1</v>
      </c>
      <c r="I7" s="10" t="n">
        <f aca="false">E7/5*35+F7/5*30+G7/5*20+H7/5*15</f>
        <v>29</v>
      </c>
      <c r="J7" s="12" t="n">
        <v>0</v>
      </c>
      <c r="K7" s="10" t="n">
        <f aca="false">MAX(0,I7-J7)</f>
        <v>29</v>
      </c>
      <c r="L7" s="9" t="n">
        <f aca="false">COUNTIFS($A$2:$A$64,A7,$B$2:$B$64,B7,$K$2:$K$64,"&gt;"&amp;K7)+1</f>
        <v>2</v>
      </c>
      <c r="M7" s="9" t="str">
        <f aca="false">IF(L7&lt;=CEILING(COUNTIFS($A$2:$A$64,A7,$B$2:$B$64,B7)/2,1),"Pass","Fail")</f>
        <v>Pass</v>
      </c>
      <c r="N7" s="9"/>
      <c r="O7" s="9"/>
      <c r="P7" s="9"/>
      <c r="Q7" s="9" t="s">
        <v>157</v>
      </c>
      <c r="R7" s="9" t="s">
        <v>158</v>
      </c>
      <c r="S7" s="9" t="s">
        <v>159</v>
      </c>
      <c r="T7" s="9" t="s">
        <v>160</v>
      </c>
      <c r="U7" s="13" t="s">
        <v>181</v>
      </c>
      <c r="V7" s="9" t="s">
        <v>162</v>
      </c>
      <c r="W7" s="14" t="n">
        <v>40149</v>
      </c>
      <c r="X7" s="11" t="s">
        <v>182</v>
      </c>
      <c r="Y7" s="11" t="s">
        <v>183</v>
      </c>
    </row>
    <row r="8" customFormat="false" ht="46.25" hidden="false" customHeight="false" outlineLevel="0" collapsed="false">
      <c r="A8" s="9" t="s">
        <v>10</v>
      </c>
      <c r="B8" s="9" t="s">
        <v>12</v>
      </c>
      <c r="C8" s="9" t="s">
        <v>43</v>
      </c>
      <c r="D8" s="11" t="s">
        <v>44</v>
      </c>
      <c r="E8" s="12" t="n">
        <v>0</v>
      </c>
      <c r="F8" s="12" t="n">
        <v>2</v>
      </c>
      <c r="G8" s="12" t="n">
        <v>3</v>
      </c>
      <c r="H8" s="12" t="n">
        <v>1</v>
      </c>
      <c r="I8" s="10" t="n">
        <f aca="false">E8/5*35+F8/5*30+G8/5*20+H8/5*15</f>
        <v>27</v>
      </c>
      <c r="J8" s="12" t="n">
        <v>0</v>
      </c>
      <c r="K8" s="10" t="n">
        <f aca="false">MAX(0,I8-J8)</f>
        <v>27</v>
      </c>
      <c r="L8" s="9" t="n">
        <f aca="false">COUNTIFS($A$2:$A$64,A8,$B$2:$B$64,B8,$K$2:$K$64,"&gt;"&amp;K8)+1</f>
        <v>3</v>
      </c>
      <c r="M8" s="9" t="str">
        <f aca="false">IF(L8&lt;=CEILING(COUNTIFS($A$2:$A$64,A8,$B$2:$B$64,B8)/2,1),"Pass","Fail")</f>
        <v>Pass</v>
      </c>
      <c r="N8" s="9"/>
      <c r="O8" s="9"/>
      <c r="P8" s="9"/>
      <c r="Q8" s="9" t="s">
        <v>157</v>
      </c>
      <c r="R8" s="9" t="s">
        <v>158</v>
      </c>
      <c r="S8" s="9" t="s">
        <v>159</v>
      </c>
      <c r="T8" s="9" t="s">
        <v>160</v>
      </c>
      <c r="U8" s="13" t="s">
        <v>184</v>
      </c>
      <c r="V8" s="9" t="s">
        <v>162</v>
      </c>
      <c r="W8" s="14" t="n">
        <v>39980</v>
      </c>
      <c r="X8" s="11" t="s">
        <v>185</v>
      </c>
      <c r="Y8" s="11"/>
    </row>
    <row r="9" customFormat="false" ht="35.05" hidden="false" customHeight="false" outlineLevel="0" collapsed="false">
      <c r="A9" s="9" t="s">
        <v>10</v>
      </c>
      <c r="B9" s="9" t="s">
        <v>12</v>
      </c>
      <c r="C9" s="9" t="s">
        <v>186</v>
      </c>
      <c r="D9" s="11" t="s">
        <v>187</v>
      </c>
      <c r="E9" s="12" t="n">
        <v>0</v>
      </c>
      <c r="F9" s="12" t="n">
        <v>2</v>
      </c>
      <c r="G9" s="12" t="n">
        <v>2</v>
      </c>
      <c r="H9" s="12" t="n">
        <v>1</v>
      </c>
      <c r="I9" s="10" t="n">
        <f aca="false">E9/5*35+F9/5*30+G9/5*20+H9/5*15</f>
        <v>23</v>
      </c>
      <c r="J9" s="12" t="n">
        <v>0</v>
      </c>
      <c r="K9" s="10" t="n">
        <f aca="false">MAX(0,I9-J9)</f>
        <v>23</v>
      </c>
      <c r="L9" s="9" t="n">
        <f aca="false">COUNTIFS($A$2:$A$64,A9,$B$2:$B$64,B9,$K$2:$K$64,"&gt;"&amp;K9)+1</f>
        <v>4</v>
      </c>
      <c r="M9" s="9" t="str">
        <f aca="false">IF(L9&lt;=CEILING(COUNTIFS($A$2:$A$64,A9,$B$2:$B$64,B9)/2,1),"Pass","Fail")</f>
        <v>Fail</v>
      </c>
      <c r="N9" s="9"/>
      <c r="O9" s="9"/>
      <c r="P9" s="9"/>
      <c r="Q9" s="9" t="s">
        <v>157</v>
      </c>
      <c r="R9" s="9" t="s">
        <v>158</v>
      </c>
      <c r="S9" s="9" t="s">
        <v>159</v>
      </c>
      <c r="T9" s="9" t="s">
        <v>160</v>
      </c>
      <c r="U9" s="13" t="s">
        <v>188</v>
      </c>
      <c r="V9" s="9" t="s">
        <v>162</v>
      </c>
      <c r="W9" s="14" t="n">
        <v>24438</v>
      </c>
      <c r="X9" s="11" t="s">
        <v>189</v>
      </c>
      <c r="Y9" s="11"/>
    </row>
    <row r="10" customFormat="false" ht="15" hidden="false" customHeight="false" outlineLevel="0" collapsed="false">
      <c r="A10" s="9" t="s">
        <v>10</v>
      </c>
      <c r="B10" s="9" t="s">
        <v>12</v>
      </c>
      <c r="C10" s="9" t="s">
        <v>190</v>
      </c>
      <c r="D10" s="11" t="s">
        <v>191</v>
      </c>
      <c r="E10" s="12" t="n">
        <v>0</v>
      </c>
      <c r="F10" s="12" t="n">
        <v>1</v>
      </c>
      <c r="G10" s="12" t="n">
        <v>1</v>
      </c>
      <c r="H10" s="12" t="n">
        <v>1</v>
      </c>
      <c r="I10" s="10" t="n">
        <f aca="false">E10/5*35+F10/5*30+G10/5*20+H10/5*15</f>
        <v>13</v>
      </c>
      <c r="J10" s="12" t="n">
        <v>0</v>
      </c>
      <c r="K10" s="10" t="n">
        <f aca="false">MAX(0,I10-J10)</f>
        <v>13</v>
      </c>
      <c r="L10" s="9" t="n">
        <f aca="false">COUNTIFS($A$2:$A$64,A10,$B$2:$B$64,B10,$K$2:$K$64,"&gt;"&amp;K10)+1</f>
        <v>5</v>
      </c>
      <c r="M10" s="9" t="str">
        <f aca="false">IF(L10&lt;=CEILING(COUNTIFS($A$2:$A$64,A10,$B$2:$B$64,B10)/2,1),"Pass","Fail")</f>
        <v>Fail</v>
      </c>
      <c r="N10" s="9"/>
      <c r="O10" s="9"/>
      <c r="P10" s="9"/>
      <c r="Q10" s="9" t="s">
        <v>157</v>
      </c>
      <c r="R10" s="9" t="s">
        <v>158</v>
      </c>
      <c r="S10" s="9" t="s">
        <v>159</v>
      </c>
      <c r="T10" s="9" t="s">
        <v>164</v>
      </c>
      <c r="U10" s="13" t="s">
        <v>192</v>
      </c>
      <c r="V10" s="9" t="s">
        <v>162</v>
      </c>
      <c r="W10" s="14" t="n">
        <v>21495</v>
      </c>
      <c r="X10" s="11" t="s">
        <v>193</v>
      </c>
      <c r="Y10" s="11"/>
    </row>
    <row r="11" customFormat="false" ht="23.85" hidden="false" customHeight="false" outlineLevel="0" collapsed="false">
      <c r="A11" s="9" t="s">
        <v>10</v>
      </c>
      <c r="B11" s="9" t="s">
        <v>12</v>
      </c>
      <c r="C11" s="9" t="s">
        <v>194</v>
      </c>
      <c r="D11" s="11" t="s">
        <v>195</v>
      </c>
      <c r="E11" s="12" t="n">
        <v>0</v>
      </c>
      <c r="F11" s="12" t="n">
        <v>0</v>
      </c>
      <c r="G11" s="12" t="n">
        <v>0</v>
      </c>
      <c r="H11" s="12" t="n">
        <v>0</v>
      </c>
      <c r="I11" s="10" t="n">
        <f aca="false">E11/5*35+F11/5*30+G11/5*20+H11/5*15</f>
        <v>0</v>
      </c>
      <c r="J11" s="12" t="n">
        <v>0</v>
      </c>
      <c r="K11" s="10" t="n">
        <f aca="false">MAX(0,I11-J11)</f>
        <v>0</v>
      </c>
      <c r="L11" s="9" t="n">
        <f aca="false">COUNTIFS($A$2:$A$64,A11,$B$2:$B$64,B11,$K$2:$K$64,"&gt;"&amp;K11)+1</f>
        <v>6</v>
      </c>
      <c r="M11" s="9" t="str">
        <f aca="false">IF(L11&lt;=CEILING(COUNTIFS($A$2:$A$64,A11,$B$2:$B$64,B11)/2,1),"Pass","Fail")</f>
        <v>Fail</v>
      </c>
      <c r="N11" s="9"/>
      <c r="O11" s="9"/>
      <c r="P11" s="9" t="s">
        <v>174</v>
      </c>
      <c r="Q11" s="9" t="s">
        <v>196</v>
      </c>
      <c r="R11" s="9" t="s">
        <v>197</v>
      </c>
      <c r="S11" s="9" t="s">
        <v>159</v>
      </c>
      <c r="T11" s="9" t="s">
        <v>198</v>
      </c>
      <c r="U11" s="13" t="s">
        <v>199</v>
      </c>
      <c r="V11" s="9" t="s">
        <v>162</v>
      </c>
      <c r="W11" s="14" t="n">
        <v>24493</v>
      </c>
      <c r="X11" s="11" t="s">
        <v>193</v>
      </c>
      <c r="Y11" s="11" t="s">
        <v>178</v>
      </c>
    </row>
    <row r="12" customFormat="false" ht="57.45" hidden="false" customHeight="false" outlineLevel="0" collapsed="false">
      <c r="A12" s="9" t="s">
        <v>10</v>
      </c>
      <c r="B12" s="9" t="s">
        <v>13</v>
      </c>
      <c r="C12" s="9" t="s">
        <v>46</v>
      </c>
      <c r="D12" s="11" t="s">
        <v>47</v>
      </c>
      <c r="E12" s="12" t="n">
        <v>0</v>
      </c>
      <c r="F12" s="12" t="n">
        <v>2</v>
      </c>
      <c r="G12" s="12" t="n">
        <v>2</v>
      </c>
      <c r="H12" s="12" t="n">
        <v>2</v>
      </c>
      <c r="I12" s="10" t="n">
        <f aca="false">E12/5*35+F12/5*30+G12/5*20+H12/5*15</f>
        <v>26</v>
      </c>
      <c r="J12" s="12" t="n">
        <v>0</v>
      </c>
      <c r="K12" s="10" t="n">
        <f aca="false">MAX(0,I12-J12)</f>
        <v>26</v>
      </c>
      <c r="L12" s="9" t="n">
        <f aca="false">COUNTIFS($A$2:$A$64,A12,$B$2:$B$64,B12,$K$2:$K$64,"&gt;"&amp;K12)+1</f>
        <v>1</v>
      </c>
      <c r="M12" s="9" t="str">
        <f aca="false">IF(L12&lt;=CEILING(COUNTIFS($A$2:$A$64,A12,$B$2:$B$64,B12)/2,1),"Pass","Fail")</f>
        <v>Pass</v>
      </c>
      <c r="N12" s="9"/>
      <c r="O12" s="9"/>
      <c r="P12" s="9"/>
      <c r="Q12" s="9" t="s">
        <v>157</v>
      </c>
      <c r="R12" s="9" t="s">
        <v>158</v>
      </c>
      <c r="S12" s="9" t="s">
        <v>159</v>
      </c>
      <c r="T12" s="9" t="s">
        <v>160</v>
      </c>
      <c r="U12" s="13" t="s">
        <v>200</v>
      </c>
      <c r="V12" s="9" t="s">
        <v>162</v>
      </c>
      <c r="W12" s="14" t="n">
        <v>40183</v>
      </c>
      <c r="X12" s="11" t="s">
        <v>201</v>
      </c>
      <c r="Y12" s="11"/>
    </row>
    <row r="13" customFormat="false" ht="23.85" hidden="false" customHeight="false" outlineLevel="0" collapsed="false">
      <c r="A13" s="9" t="s">
        <v>10</v>
      </c>
      <c r="B13" s="9" t="s">
        <v>13</v>
      </c>
      <c r="C13" s="9" t="s">
        <v>49</v>
      </c>
      <c r="D13" s="11" t="s">
        <v>50</v>
      </c>
      <c r="E13" s="12" t="n">
        <v>0</v>
      </c>
      <c r="F13" s="12" t="n">
        <v>2</v>
      </c>
      <c r="G13" s="12" t="n">
        <v>2</v>
      </c>
      <c r="H13" s="12" t="n">
        <v>1</v>
      </c>
      <c r="I13" s="10" t="n">
        <f aca="false">E13/5*35+F13/5*30+G13/5*20+H13/5*15</f>
        <v>23</v>
      </c>
      <c r="J13" s="12" t="n">
        <v>0</v>
      </c>
      <c r="K13" s="10" t="n">
        <f aca="false">MAX(0,I13-J13)</f>
        <v>23</v>
      </c>
      <c r="L13" s="9" t="n">
        <f aca="false">COUNTIFS($A$2:$A$64,A13,$B$2:$B$64,B13,$K$2:$K$64,"&gt;"&amp;K13)+1</f>
        <v>2</v>
      </c>
      <c r="M13" s="9" t="str">
        <f aca="false">IF(L13&lt;=CEILING(COUNTIFS($A$2:$A$64,A13,$B$2:$B$64,B13)/2,1),"Pass","Fail")</f>
        <v>Pass</v>
      </c>
      <c r="N13" s="9"/>
      <c r="O13" s="9"/>
      <c r="P13" s="9"/>
      <c r="Q13" s="9" t="s">
        <v>157</v>
      </c>
      <c r="R13" s="9" t="s">
        <v>158</v>
      </c>
      <c r="S13" s="9" t="s">
        <v>159</v>
      </c>
      <c r="T13" s="9" t="s">
        <v>164</v>
      </c>
      <c r="U13" s="13" t="s">
        <v>202</v>
      </c>
      <c r="V13" s="9" t="s">
        <v>162</v>
      </c>
      <c r="W13" s="14" t="n">
        <v>19517</v>
      </c>
      <c r="X13" s="11" t="s">
        <v>203</v>
      </c>
      <c r="Y13" s="11"/>
    </row>
    <row r="14" customFormat="false" ht="46.25" hidden="false" customHeight="false" outlineLevel="0" collapsed="false">
      <c r="A14" s="9" t="s">
        <v>10</v>
      </c>
      <c r="B14" s="9" t="s">
        <v>13</v>
      </c>
      <c r="C14" s="9" t="s">
        <v>52</v>
      </c>
      <c r="D14" s="11" t="s">
        <v>53</v>
      </c>
      <c r="E14" s="12" t="n">
        <v>0</v>
      </c>
      <c r="F14" s="12" t="n">
        <v>2</v>
      </c>
      <c r="G14" s="12" t="n">
        <v>2</v>
      </c>
      <c r="H14" s="12" t="n">
        <v>1</v>
      </c>
      <c r="I14" s="10" t="n">
        <f aca="false">E14/5*35+F14/5*30+G14/5*20+H14/5*15</f>
        <v>23</v>
      </c>
      <c r="J14" s="12" t="n">
        <v>0</v>
      </c>
      <c r="K14" s="10" t="n">
        <f aca="false">MAX(0,I14-J14)</f>
        <v>23</v>
      </c>
      <c r="L14" s="9" t="n">
        <f aca="false">COUNTIFS($A$2:$A$64,A14,$B$2:$B$64,B14,$K$2:$K$64,"&gt;"&amp;K14)+1</f>
        <v>2</v>
      </c>
      <c r="M14" s="9" t="str">
        <f aca="false">IF(L14&lt;=CEILING(COUNTIFS($A$2:$A$64,A14,$B$2:$B$64,B14)/2,1),"Pass","Fail")</f>
        <v>Pass</v>
      </c>
      <c r="N14" s="9"/>
      <c r="O14" s="9"/>
      <c r="P14" s="9"/>
      <c r="Q14" s="9" t="s">
        <v>157</v>
      </c>
      <c r="R14" s="9" t="s">
        <v>158</v>
      </c>
      <c r="S14" s="9" t="s">
        <v>159</v>
      </c>
      <c r="T14" s="9" t="s">
        <v>164</v>
      </c>
      <c r="U14" s="13" t="s">
        <v>204</v>
      </c>
      <c r="V14" s="9" t="s">
        <v>162</v>
      </c>
      <c r="W14" s="14" t="n">
        <v>20969</v>
      </c>
      <c r="X14" s="11" t="s">
        <v>205</v>
      </c>
      <c r="Y14" s="11"/>
    </row>
    <row r="15" customFormat="false" ht="35.05" hidden="false" customHeight="false" outlineLevel="0" collapsed="false">
      <c r="A15" s="9" t="s">
        <v>10</v>
      </c>
      <c r="B15" s="9" t="s">
        <v>13</v>
      </c>
      <c r="C15" s="9" t="s">
        <v>206</v>
      </c>
      <c r="D15" s="11" t="s">
        <v>207</v>
      </c>
      <c r="E15" s="12" t="n">
        <v>0</v>
      </c>
      <c r="F15" s="12" t="n">
        <v>2</v>
      </c>
      <c r="G15" s="12" t="n">
        <v>1</v>
      </c>
      <c r="H15" s="12" t="n">
        <v>1</v>
      </c>
      <c r="I15" s="10" t="n">
        <f aca="false">E15/5*35+F15/5*30+G15/5*20+H15/5*15</f>
        <v>19</v>
      </c>
      <c r="J15" s="12" t="n">
        <v>0</v>
      </c>
      <c r="K15" s="10" t="n">
        <f aca="false">MAX(0,I15-J15)</f>
        <v>19</v>
      </c>
      <c r="L15" s="9" t="n">
        <f aca="false">COUNTIFS($A$2:$A$64,A15,$B$2:$B$64,B15,$K$2:$K$64,"&gt;"&amp;K15)+1</f>
        <v>4</v>
      </c>
      <c r="M15" s="9" t="str">
        <f aca="false">IF(L15&lt;=CEILING(COUNTIFS($A$2:$A$64,A15,$B$2:$B$64,B15)/2,1),"Pass","Fail")</f>
        <v>Fail</v>
      </c>
      <c r="N15" s="9"/>
      <c r="O15" s="9"/>
      <c r="P15" s="9"/>
      <c r="Q15" s="9" t="s">
        <v>157</v>
      </c>
      <c r="R15" s="9" t="s">
        <v>158</v>
      </c>
      <c r="S15" s="9" t="s">
        <v>159</v>
      </c>
      <c r="T15" s="9" t="s">
        <v>164</v>
      </c>
      <c r="U15" s="13" t="s">
        <v>208</v>
      </c>
      <c r="V15" s="9" t="s">
        <v>162</v>
      </c>
      <c r="W15" s="14" t="n">
        <v>18578</v>
      </c>
      <c r="X15" s="11" t="s">
        <v>209</v>
      </c>
      <c r="Y15" s="11"/>
    </row>
    <row r="16" customFormat="false" ht="46.25" hidden="false" customHeight="false" outlineLevel="0" collapsed="false">
      <c r="A16" s="9" t="s">
        <v>14</v>
      </c>
      <c r="B16" s="9" t="s">
        <v>12</v>
      </c>
      <c r="C16" s="9" t="s">
        <v>55</v>
      </c>
      <c r="D16" s="11" t="s">
        <v>56</v>
      </c>
      <c r="E16" s="12" t="n">
        <v>2</v>
      </c>
      <c r="F16" s="12" t="n">
        <v>3</v>
      </c>
      <c r="G16" s="12" t="n">
        <v>2</v>
      </c>
      <c r="H16" s="12" t="n">
        <v>1</v>
      </c>
      <c r="I16" s="10" t="n">
        <f aca="false">E16/5*35+F16/5*30+G16/5*20+H16/5*15</f>
        <v>43</v>
      </c>
      <c r="J16" s="12" t="n">
        <v>0</v>
      </c>
      <c r="K16" s="10" t="n">
        <f aca="false">MAX(0,I16-J16)</f>
        <v>43</v>
      </c>
      <c r="L16" s="9" t="n">
        <f aca="false">COUNTIFS($A$2:$A$64,A16,$B$2:$B$64,B16,$K$2:$K$64,"&gt;"&amp;K16)+1</f>
        <v>1</v>
      </c>
      <c r="M16" s="9" t="str">
        <f aca="false">IF(L16&lt;=CEILING(COUNTIFS($A$2:$A$64,A16,$B$2:$B$64,B16)/2,1),"Pass","Fail")</f>
        <v>Pass</v>
      </c>
      <c r="N16" s="9"/>
      <c r="O16" s="9"/>
      <c r="P16" s="9"/>
      <c r="Q16" s="9" t="s">
        <v>157</v>
      </c>
      <c r="R16" s="9" t="s">
        <v>158</v>
      </c>
      <c r="S16" s="9" t="s">
        <v>159</v>
      </c>
      <c r="T16" s="9" t="s">
        <v>160</v>
      </c>
      <c r="U16" s="13" t="s">
        <v>210</v>
      </c>
      <c r="V16" s="9" t="s">
        <v>162</v>
      </c>
      <c r="W16" s="14" t="n">
        <v>40146</v>
      </c>
      <c r="X16" s="11" t="s">
        <v>211</v>
      </c>
      <c r="Y16" s="11"/>
    </row>
    <row r="17" customFormat="false" ht="35.05" hidden="false" customHeight="false" outlineLevel="0" collapsed="false">
      <c r="A17" s="9" t="s">
        <v>14</v>
      </c>
      <c r="B17" s="9" t="s">
        <v>12</v>
      </c>
      <c r="C17" s="9" t="s">
        <v>58</v>
      </c>
      <c r="D17" s="11" t="s">
        <v>59</v>
      </c>
      <c r="E17" s="12" t="n">
        <v>1</v>
      </c>
      <c r="F17" s="12" t="n">
        <v>3</v>
      </c>
      <c r="G17" s="12" t="n">
        <v>3</v>
      </c>
      <c r="H17" s="12" t="n">
        <v>1</v>
      </c>
      <c r="I17" s="10" t="n">
        <f aca="false">E17/5*35+F17/5*30+G17/5*20+H17/5*15</f>
        <v>40</v>
      </c>
      <c r="J17" s="12" t="n">
        <v>0</v>
      </c>
      <c r="K17" s="10" t="n">
        <f aca="false">MAX(0,I17-J17)</f>
        <v>40</v>
      </c>
      <c r="L17" s="9" t="n">
        <f aca="false">COUNTIFS($A$2:$A$64,A17,$B$2:$B$64,B17,$K$2:$K$64,"&gt;"&amp;K17)+1</f>
        <v>2</v>
      </c>
      <c r="M17" s="9" t="str">
        <f aca="false">IF(L17&lt;=CEILING(COUNTIFS($A$2:$A$64,A17,$B$2:$B$64,B17)/2,1),"Pass","Fail")</f>
        <v>Pass</v>
      </c>
      <c r="N17" s="9"/>
      <c r="O17" s="9"/>
      <c r="P17" s="9"/>
      <c r="Q17" s="9" t="s">
        <v>157</v>
      </c>
      <c r="R17" s="9" t="s">
        <v>158</v>
      </c>
      <c r="S17" s="9" t="s">
        <v>159</v>
      </c>
      <c r="T17" s="9" t="s">
        <v>160</v>
      </c>
      <c r="U17" s="13" t="s">
        <v>212</v>
      </c>
      <c r="V17" s="9" t="s">
        <v>162</v>
      </c>
      <c r="W17" s="14" t="n">
        <v>38892</v>
      </c>
      <c r="X17" s="11" t="s">
        <v>213</v>
      </c>
      <c r="Y17" s="11"/>
    </row>
    <row r="18" customFormat="false" ht="35.05" hidden="false" customHeight="false" outlineLevel="0" collapsed="false">
      <c r="A18" s="9" t="s">
        <v>14</v>
      </c>
      <c r="B18" s="9" t="s">
        <v>12</v>
      </c>
      <c r="C18" s="9" t="s">
        <v>61</v>
      </c>
      <c r="D18" s="11" t="s">
        <v>62</v>
      </c>
      <c r="E18" s="12" t="n">
        <v>1</v>
      </c>
      <c r="F18" s="12" t="n">
        <v>3</v>
      </c>
      <c r="G18" s="12" t="n">
        <v>2</v>
      </c>
      <c r="H18" s="12" t="n">
        <v>1</v>
      </c>
      <c r="I18" s="10" t="n">
        <f aca="false">E18/5*35+F18/5*30+G18/5*20+H18/5*15</f>
        <v>36</v>
      </c>
      <c r="J18" s="12" t="n">
        <v>0</v>
      </c>
      <c r="K18" s="10" t="n">
        <f aca="false">MAX(0,I18-J18)</f>
        <v>36</v>
      </c>
      <c r="L18" s="9" t="n">
        <f aca="false">COUNTIFS($A$2:$A$64,A18,$B$2:$B$64,B18,$K$2:$K$64,"&gt;"&amp;K18)+1</f>
        <v>3</v>
      </c>
      <c r="M18" s="9" t="str">
        <f aca="false">IF(L18&lt;=CEILING(COUNTIFS($A$2:$A$64,A18,$B$2:$B$64,B18)/2,1),"Pass","Fail")</f>
        <v>Pass</v>
      </c>
      <c r="N18" s="9"/>
      <c r="O18" s="9"/>
      <c r="P18" s="9"/>
      <c r="Q18" s="9" t="s">
        <v>157</v>
      </c>
      <c r="R18" s="9" t="s">
        <v>158</v>
      </c>
      <c r="S18" s="9" t="s">
        <v>159</v>
      </c>
      <c r="T18" s="9" t="s">
        <v>160</v>
      </c>
      <c r="U18" s="13" t="s">
        <v>214</v>
      </c>
      <c r="V18" s="9" t="s">
        <v>162</v>
      </c>
      <c r="W18" s="14" t="n">
        <v>23690</v>
      </c>
      <c r="X18" s="11" t="s">
        <v>215</v>
      </c>
      <c r="Y18" s="11"/>
    </row>
    <row r="19" customFormat="false" ht="46.25" hidden="false" customHeight="false" outlineLevel="0" collapsed="false">
      <c r="A19" s="9" t="s">
        <v>14</v>
      </c>
      <c r="B19" s="9" t="s">
        <v>12</v>
      </c>
      <c r="C19" s="9" t="s">
        <v>216</v>
      </c>
      <c r="D19" s="11" t="s">
        <v>217</v>
      </c>
      <c r="E19" s="12" t="n">
        <v>0</v>
      </c>
      <c r="F19" s="12" t="n">
        <v>3</v>
      </c>
      <c r="G19" s="12" t="n">
        <v>3</v>
      </c>
      <c r="H19" s="12" t="n">
        <v>1</v>
      </c>
      <c r="I19" s="10" t="n">
        <f aca="false">E19/5*35+F19/5*30+G19/5*20+H19/5*15</f>
        <v>33</v>
      </c>
      <c r="J19" s="12" t="n">
        <v>0</v>
      </c>
      <c r="K19" s="10" t="n">
        <f aca="false">MAX(0,I19-J19)</f>
        <v>33</v>
      </c>
      <c r="L19" s="9" t="n">
        <f aca="false">COUNTIFS($A$2:$A$64,A19,$B$2:$B$64,B19,$K$2:$K$64,"&gt;"&amp;K19)+1</f>
        <v>4</v>
      </c>
      <c r="M19" s="9" t="str">
        <f aca="false">IF(L19&lt;=CEILING(COUNTIFS($A$2:$A$64,A19,$B$2:$B$64,B19)/2,1),"Pass","Fail")</f>
        <v>Fail</v>
      </c>
      <c r="N19" s="9"/>
      <c r="O19" s="9"/>
      <c r="P19" s="9"/>
      <c r="Q19" s="9" t="s">
        <v>157</v>
      </c>
      <c r="R19" s="9" t="s">
        <v>158</v>
      </c>
      <c r="S19" s="9" t="s">
        <v>159</v>
      </c>
      <c r="T19" s="9" t="s">
        <v>160</v>
      </c>
      <c r="U19" s="13" t="s">
        <v>218</v>
      </c>
      <c r="V19" s="9" t="s">
        <v>162</v>
      </c>
      <c r="W19" s="14" t="n">
        <v>24128</v>
      </c>
      <c r="X19" s="11" t="s">
        <v>219</v>
      </c>
      <c r="Y19" s="11"/>
    </row>
    <row r="20" customFormat="false" ht="35.05" hidden="false" customHeight="false" outlineLevel="0" collapsed="false">
      <c r="A20" s="9" t="s">
        <v>14</v>
      </c>
      <c r="B20" s="9" t="s">
        <v>12</v>
      </c>
      <c r="C20" s="9" t="s">
        <v>220</v>
      </c>
      <c r="D20" s="11" t="s">
        <v>221</v>
      </c>
      <c r="E20" s="12" t="n">
        <v>0</v>
      </c>
      <c r="F20" s="12" t="n">
        <v>2</v>
      </c>
      <c r="G20" s="12" t="n">
        <v>2</v>
      </c>
      <c r="H20" s="12" t="n">
        <v>1</v>
      </c>
      <c r="I20" s="10" t="n">
        <f aca="false">E20/5*35+F20/5*30+G20/5*20+H20/5*15</f>
        <v>23</v>
      </c>
      <c r="J20" s="12" t="n">
        <v>0</v>
      </c>
      <c r="K20" s="10" t="n">
        <f aca="false">MAX(0,I20-J20)</f>
        <v>23</v>
      </c>
      <c r="L20" s="9" t="n">
        <f aca="false">COUNTIFS($A$2:$A$64,A20,$B$2:$B$64,B20,$K$2:$K$64,"&gt;"&amp;K20)+1</f>
        <v>5</v>
      </c>
      <c r="M20" s="9" t="str">
        <f aca="false">IF(L20&lt;=CEILING(COUNTIFS($A$2:$A$64,A20,$B$2:$B$64,B20)/2,1),"Pass","Fail")</f>
        <v>Fail</v>
      </c>
      <c r="N20" s="9"/>
      <c r="O20" s="9"/>
      <c r="P20" s="9"/>
      <c r="Q20" s="9" t="s">
        <v>157</v>
      </c>
      <c r="R20" s="9" t="s">
        <v>158</v>
      </c>
      <c r="S20" s="9" t="s">
        <v>159</v>
      </c>
      <c r="T20" s="9" t="s">
        <v>222</v>
      </c>
      <c r="U20" s="13" t="s">
        <v>223</v>
      </c>
      <c r="V20" s="9" t="s">
        <v>162</v>
      </c>
      <c r="W20" s="14" t="n">
        <v>18235</v>
      </c>
      <c r="X20" s="11" t="s">
        <v>224</v>
      </c>
      <c r="Y20" s="11"/>
    </row>
    <row r="21" customFormat="false" ht="35.05" hidden="false" customHeight="false" outlineLevel="0" collapsed="false">
      <c r="A21" s="9" t="s">
        <v>14</v>
      </c>
      <c r="B21" s="9" t="s">
        <v>12</v>
      </c>
      <c r="C21" s="9" t="s">
        <v>225</v>
      </c>
      <c r="D21" s="11" t="s">
        <v>226</v>
      </c>
      <c r="E21" s="12" t="n">
        <v>0</v>
      </c>
      <c r="F21" s="12" t="n">
        <v>2</v>
      </c>
      <c r="G21" s="12" t="n">
        <v>1</v>
      </c>
      <c r="H21" s="12" t="n">
        <v>2</v>
      </c>
      <c r="I21" s="10" t="n">
        <f aca="false">E21/5*35+F21/5*30+G21/5*20+H21/5*15</f>
        <v>22</v>
      </c>
      <c r="J21" s="12" t="n">
        <v>0</v>
      </c>
      <c r="K21" s="10" t="n">
        <f aca="false">MAX(0,I21-J21)</f>
        <v>22</v>
      </c>
      <c r="L21" s="9" t="n">
        <f aca="false">COUNTIFS($A$2:$A$64,A21,$B$2:$B$64,B21,$K$2:$K$64,"&gt;"&amp;K21)+1</f>
        <v>6</v>
      </c>
      <c r="M21" s="9" t="str">
        <f aca="false">IF(L21&lt;=CEILING(COUNTIFS($A$2:$A$64,A21,$B$2:$B$64,B21)/2,1),"Pass","Fail")</f>
        <v>Fail</v>
      </c>
      <c r="N21" s="9"/>
      <c r="O21" s="9"/>
      <c r="P21" s="9" t="s">
        <v>227</v>
      </c>
      <c r="Q21" s="9" t="s">
        <v>196</v>
      </c>
      <c r="R21" s="9" t="s">
        <v>197</v>
      </c>
      <c r="S21" s="9" t="s">
        <v>159</v>
      </c>
      <c r="T21" s="9" t="s">
        <v>198</v>
      </c>
      <c r="U21" s="13" t="s">
        <v>228</v>
      </c>
      <c r="V21" s="9" t="s">
        <v>162</v>
      </c>
      <c r="W21" s="14" t="n">
        <v>16328</v>
      </c>
      <c r="X21" s="11" t="s">
        <v>229</v>
      </c>
      <c r="Y21" s="11" t="s">
        <v>230</v>
      </c>
    </row>
    <row r="22" customFormat="false" ht="23.85" hidden="false" customHeight="false" outlineLevel="0" collapsed="false">
      <c r="A22" s="9" t="s">
        <v>14</v>
      </c>
      <c r="B22" s="9" t="s">
        <v>13</v>
      </c>
      <c r="C22" s="9" t="s">
        <v>64</v>
      </c>
      <c r="D22" s="11" t="s">
        <v>65</v>
      </c>
      <c r="E22" s="12" t="n">
        <v>1</v>
      </c>
      <c r="F22" s="12" t="n">
        <v>2</v>
      </c>
      <c r="G22" s="12" t="n">
        <v>2</v>
      </c>
      <c r="H22" s="12" t="n">
        <v>1</v>
      </c>
      <c r="I22" s="10" t="n">
        <f aca="false">E22/5*35+F22/5*30+G22/5*20+H22/5*15</f>
        <v>30</v>
      </c>
      <c r="J22" s="12" t="n">
        <v>0</v>
      </c>
      <c r="K22" s="10" t="n">
        <f aca="false">MAX(0,I22-J22)</f>
        <v>30</v>
      </c>
      <c r="L22" s="9" t="n">
        <f aca="false">COUNTIFS($A$2:$A$64,A22,$B$2:$B$64,B22,$K$2:$K$64,"&gt;"&amp;K22)+1</f>
        <v>1</v>
      </c>
      <c r="M22" s="9" t="str">
        <f aca="false">IF(L22&lt;=CEILING(COUNTIFS($A$2:$A$64,A22,$B$2:$B$64,B22)/2,1),"Pass","Fail")</f>
        <v>Pass</v>
      </c>
      <c r="N22" s="9"/>
      <c r="O22" s="9"/>
      <c r="P22" s="9"/>
      <c r="Q22" s="9" t="s">
        <v>157</v>
      </c>
      <c r="R22" s="9" t="s">
        <v>158</v>
      </c>
      <c r="S22" s="9" t="s">
        <v>159</v>
      </c>
      <c r="T22" s="9" t="s">
        <v>160</v>
      </c>
      <c r="U22" s="13" t="s">
        <v>231</v>
      </c>
      <c r="V22" s="9" t="s">
        <v>162</v>
      </c>
      <c r="W22" s="14" t="n">
        <v>8316</v>
      </c>
      <c r="X22" s="11" t="s">
        <v>232</v>
      </c>
      <c r="Y22" s="11"/>
    </row>
    <row r="23" customFormat="false" ht="35.05" hidden="false" customHeight="false" outlineLevel="0" collapsed="false">
      <c r="A23" s="9" t="s">
        <v>14</v>
      </c>
      <c r="B23" s="9" t="s">
        <v>13</v>
      </c>
      <c r="C23" s="9" t="s">
        <v>67</v>
      </c>
      <c r="D23" s="11" t="s">
        <v>68</v>
      </c>
      <c r="E23" s="12" t="n">
        <v>0</v>
      </c>
      <c r="F23" s="12" t="n">
        <v>3</v>
      </c>
      <c r="G23" s="12" t="n">
        <v>2</v>
      </c>
      <c r="H23" s="12" t="n">
        <v>1</v>
      </c>
      <c r="I23" s="10" t="n">
        <f aca="false">E23/5*35+F23/5*30+G23/5*20+H23/5*15</f>
        <v>29</v>
      </c>
      <c r="J23" s="12" t="n">
        <v>0</v>
      </c>
      <c r="K23" s="10" t="n">
        <f aca="false">MAX(0,I23-J23)</f>
        <v>29</v>
      </c>
      <c r="L23" s="9" t="n">
        <f aca="false">COUNTIFS($A$2:$A$64,A23,$B$2:$B$64,B23,$K$2:$K$64,"&gt;"&amp;K23)+1</f>
        <v>2</v>
      </c>
      <c r="M23" s="9" t="str">
        <f aca="false">IF(L23&lt;=CEILING(COUNTIFS($A$2:$A$64,A23,$B$2:$B$64,B23)/2,1),"Pass","Fail")</f>
        <v>Pass</v>
      </c>
      <c r="N23" s="9"/>
      <c r="O23" s="9"/>
      <c r="P23" s="9"/>
      <c r="Q23" s="9" t="s">
        <v>157</v>
      </c>
      <c r="R23" s="9" t="s">
        <v>158</v>
      </c>
      <c r="S23" s="9" t="s">
        <v>159</v>
      </c>
      <c r="T23" s="9" t="s">
        <v>160</v>
      </c>
      <c r="U23" s="13" t="s">
        <v>233</v>
      </c>
      <c r="V23" s="9" t="s">
        <v>162</v>
      </c>
      <c r="W23" s="14" t="n">
        <v>39253</v>
      </c>
      <c r="X23" s="11" t="s">
        <v>234</v>
      </c>
      <c r="Y23" s="11"/>
    </row>
    <row r="24" customFormat="false" ht="35.05" hidden="false" customHeight="false" outlineLevel="0" collapsed="false">
      <c r="A24" s="9" t="s">
        <v>14</v>
      </c>
      <c r="B24" s="9" t="s">
        <v>13</v>
      </c>
      <c r="C24" s="9" t="s">
        <v>235</v>
      </c>
      <c r="D24" s="11" t="s">
        <v>236</v>
      </c>
      <c r="E24" s="12" t="n">
        <v>0</v>
      </c>
      <c r="F24" s="12" t="n">
        <v>2</v>
      </c>
      <c r="G24" s="12" t="n">
        <v>3</v>
      </c>
      <c r="H24" s="12" t="n">
        <v>0</v>
      </c>
      <c r="I24" s="10" t="n">
        <f aca="false">E24/5*35+F24/5*30+G24/5*20+H24/5*15</f>
        <v>24</v>
      </c>
      <c r="J24" s="12" t="n">
        <v>0</v>
      </c>
      <c r="K24" s="10" t="n">
        <f aca="false">MAX(0,I24-J24)</f>
        <v>24</v>
      </c>
      <c r="L24" s="9" t="n">
        <f aca="false">COUNTIFS($A$2:$A$64,A24,$B$2:$B$64,B24,$K$2:$K$64,"&gt;"&amp;K24)+1</f>
        <v>3</v>
      </c>
      <c r="M24" s="9" t="str">
        <f aca="false">IF(L24&lt;=CEILING(COUNTIFS($A$2:$A$64,A24,$B$2:$B$64,B24)/2,1),"Pass","Fail")</f>
        <v>Fail</v>
      </c>
      <c r="N24" s="9"/>
      <c r="O24" s="9"/>
      <c r="P24" s="9"/>
      <c r="Q24" s="9" t="s">
        <v>157</v>
      </c>
      <c r="R24" s="9" t="s">
        <v>158</v>
      </c>
      <c r="S24" s="9" t="s">
        <v>159</v>
      </c>
      <c r="T24" s="9" t="s">
        <v>160</v>
      </c>
      <c r="U24" s="13" t="s">
        <v>237</v>
      </c>
      <c r="V24" s="9" t="s">
        <v>162</v>
      </c>
      <c r="W24" s="14" t="n">
        <v>30231</v>
      </c>
      <c r="X24" s="11" t="s">
        <v>238</v>
      </c>
      <c r="Y24" s="11"/>
    </row>
    <row r="25" customFormat="false" ht="46.25" hidden="false" customHeight="false" outlineLevel="0" collapsed="false">
      <c r="A25" s="9" t="s">
        <v>14</v>
      </c>
      <c r="B25" s="9" t="s">
        <v>13</v>
      </c>
      <c r="C25" s="9" t="s">
        <v>239</v>
      </c>
      <c r="D25" s="11" t="s">
        <v>240</v>
      </c>
      <c r="E25" s="12" t="n">
        <v>0</v>
      </c>
      <c r="F25" s="12" t="n">
        <v>2</v>
      </c>
      <c r="G25" s="12" t="n">
        <v>1</v>
      </c>
      <c r="H25" s="12" t="n">
        <v>1</v>
      </c>
      <c r="I25" s="10" t="n">
        <f aca="false">E25/5*35+F25/5*30+G25/5*20+H25/5*15</f>
        <v>19</v>
      </c>
      <c r="J25" s="12" t="n">
        <v>0</v>
      </c>
      <c r="K25" s="10" t="n">
        <f aca="false">MAX(0,I25-J25)</f>
        <v>19</v>
      </c>
      <c r="L25" s="9" t="n">
        <f aca="false">COUNTIFS($A$2:$A$64,A25,$B$2:$B$64,B25,$K$2:$K$64,"&gt;"&amp;K25)+1</f>
        <v>4</v>
      </c>
      <c r="M25" s="9" t="str">
        <f aca="false">IF(L25&lt;=CEILING(COUNTIFS($A$2:$A$64,A25,$B$2:$B$64,B25)/2,1),"Pass","Fail")</f>
        <v>Fail</v>
      </c>
      <c r="N25" s="9"/>
      <c r="O25" s="9"/>
      <c r="P25" s="9"/>
      <c r="Q25" s="9" t="s">
        <v>157</v>
      </c>
      <c r="R25" s="9" t="s">
        <v>158</v>
      </c>
      <c r="S25" s="9" t="s">
        <v>159</v>
      </c>
      <c r="T25" s="9" t="s">
        <v>160</v>
      </c>
      <c r="U25" s="13" t="s">
        <v>241</v>
      </c>
      <c r="V25" s="9" t="s">
        <v>162</v>
      </c>
      <c r="W25" s="14" t="n">
        <v>39904</v>
      </c>
      <c r="X25" s="11" t="s">
        <v>242</v>
      </c>
      <c r="Y25" s="11"/>
    </row>
    <row r="26" customFormat="false" ht="35.05" hidden="false" customHeight="false" outlineLevel="0" collapsed="false">
      <c r="A26" s="9" t="s">
        <v>14</v>
      </c>
      <c r="B26" s="9" t="s">
        <v>15</v>
      </c>
      <c r="C26" s="9" t="s">
        <v>70</v>
      </c>
      <c r="D26" s="11" t="s">
        <v>71</v>
      </c>
      <c r="E26" s="12" t="n">
        <v>3</v>
      </c>
      <c r="F26" s="12" t="n">
        <v>3</v>
      </c>
      <c r="G26" s="12" t="n">
        <v>3</v>
      </c>
      <c r="H26" s="12" t="n">
        <v>2</v>
      </c>
      <c r="I26" s="10" t="n">
        <f aca="false">E26/5*35+F26/5*30+G26/5*20+H26/5*15</f>
        <v>57</v>
      </c>
      <c r="J26" s="12" t="n">
        <v>0</v>
      </c>
      <c r="K26" s="10" t="n">
        <f aca="false">MAX(0,I26-J26)</f>
        <v>57</v>
      </c>
      <c r="L26" s="9" t="n">
        <f aca="false">COUNTIFS($A$2:$A$64,A26,$B$2:$B$64,B26,$K$2:$K$64,"&gt;"&amp;K26)+1</f>
        <v>1</v>
      </c>
      <c r="M26" s="9" t="str">
        <f aca="false">IF(L26&lt;=CEILING(COUNTIFS($A$2:$A$64,A26,$B$2:$B$64,B26)/2,1),"Pass","Fail")</f>
        <v>Pass</v>
      </c>
      <c r="N26" s="9"/>
      <c r="O26" s="9"/>
      <c r="P26" s="9"/>
      <c r="Q26" s="9" t="s">
        <v>157</v>
      </c>
      <c r="R26" s="9" t="s">
        <v>158</v>
      </c>
      <c r="S26" s="9" t="s">
        <v>159</v>
      </c>
      <c r="T26" s="9" t="s">
        <v>160</v>
      </c>
      <c r="U26" s="13" t="s">
        <v>243</v>
      </c>
      <c r="V26" s="9" t="s">
        <v>162</v>
      </c>
      <c r="W26" s="14" t="n">
        <v>40036</v>
      </c>
      <c r="X26" s="11" t="s">
        <v>244</v>
      </c>
      <c r="Y26" s="11"/>
    </row>
    <row r="27" customFormat="false" ht="46.25" hidden="false" customHeight="false" outlineLevel="0" collapsed="false">
      <c r="A27" s="9" t="s">
        <v>14</v>
      </c>
      <c r="B27" s="9" t="s">
        <v>15</v>
      </c>
      <c r="C27" s="9" t="s">
        <v>73</v>
      </c>
      <c r="D27" s="11" t="s">
        <v>74</v>
      </c>
      <c r="E27" s="12" t="n">
        <v>3</v>
      </c>
      <c r="F27" s="12" t="n">
        <v>3</v>
      </c>
      <c r="G27" s="12" t="n">
        <v>2</v>
      </c>
      <c r="H27" s="12" t="n">
        <v>2</v>
      </c>
      <c r="I27" s="10" t="n">
        <f aca="false">E27/5*35+F27/5*30+G27/5*20+H27/5*15</f>
        <v>53</v>
      </c>
      <c r="J27" s="12" t="n">
        <v>0</v>
      </c>
      <c r="K27" s="10" t="n">
        <f aca="false">MAX(0,I27-J27)</f>
        <v>53</v>
      </c>
      <c r="L27" s="9" t="n">
        <f aca="false">COUNTIFS($A$2:$A$64,A27,$B$2:$B$64,B27,$K$2:$K$64,"&gt;"&amp;K27)+1</f>
        <v>2</v>
      </c>
      <c r="M27" s="9" t="str">
        <f aca="false">IF(L27&lt;=CEILING(COUNTIFS($A$2:$A$64,A27,$B$2:$B$64,B27)/2,1),"Pass","Fail")</f>
        <v>Pass</v>
      </c>
      <c r="N27" s="9"/>
      <c r="O27" s="9"/>
      <c r="P27" s="9"/>
      <c r="Q27" s="9" t="s">
        <v>157</v>
      </c>
      <c r="R27" s="9" t="s">
        <v>158</v>
      </c>
      <c r="S27" s="9" t="s">
        <v>159</v>
      </c>
      <c r="T27" s="9" t="s">
        <v>160</v>
      </c>
      <c r="U27" s="13" t="s">
        <v>245</v>
      </c>
      <c r="V27" s="9" t="s">
        <v>162</v>
      </c>
      <c r="W27" s="14" t="n">
        <v>33840</v>
      </c>
      <c r="X27" s="11" t="s">
        <v>246</v>
      </c>
      <c r="Y27" s="11"/>
    </row>
    <row r="28" customFormat="false" ht="46.25" hidden="false" customHeight="false" outlineLevel="0" collapsed="false">
      <c r="A28" s="9" t="s">
        <v>14</v>
      </c>
      <c r="B28" s="9" t="s">
        <v>15</v>
      </c>
      <c r="C28" s="9" t="s">
        <v>247</v>
      </c>
      <c r="D28" s="11" t="s">
        <v>248</v>
      </c>
      <c r="E28" s="12" t="n">
        <v>1</v>
      </c>
      <c r="F28" s="12" t="n">
        <v>2</v>
      </c>
      <c r="G28" s="12" t="n">
        <v>2</v>
      </c>
      <c r="H28" s="12" t="n">
        <v>1</v>
      </c>
      <c r="I28" s="10" t="n">
        <f aca="false">E28/5*35+F28/5*30+G28/5*20+H28/5*15</f>
        <v>30</v>
      </c>
      <c r="J28" s="12" t="n">
        <v>0</v>
      </c>
      <c r="K28" s="10" t="n">
        <f aca="false">MAX(0,I28-J28)</f>
        <v>30</v>
      </c>
      <c r="L28" s="9" t="n">
        <f aca="false">COUNTIFS($A$2:$A$64,A28,$B$2:$B$64,B28,$K$2:$K$64,"&gt;"&amp;K28)+1</f>
        <v>3</v>
      </c>
      <c r="M28" s="9" t="str">
        <f aca="false">IF(L28&lt;=CEILING(COUNTIFS($A$2:$A$64,A28,$B$2:$B$64,B28)/2,1),"Pass","Fail")</f>
        <v>Fail</v>
      </c>
      <c r="N28" s="9"/>
      <c r="O28" s="9"/>
      <c r="P28" s="9"/>
      <c r="Q28" s="9" t="s">
        <v>157</v>
      </c>
      <c r="R28" s="9" t="s">
        <v>158</v>
      </c>
      <c r="S28" s="9" t="s">
        <v>159</v>
      </c>
      <c r="T28" s="9" t="s">
        <v>160</v>
      </c>
      <c r="U28" s="13" t="s">
        <v>249</v>
      </c>
      <c r="V28" s="9" t="s">
        <v>162</v>
      </c>
      <c r="W28" s="14" t="n">
        <v>39707</v>
      </c>
      <c r="X28" s="11" t="s">
        <v>250</v>
      </c>
      <c r="Y28" s="11"/>
    </row>
    <row r="29" customFormat="false" ht="23.85" hidden="false" customHeight="false" outlineLevel="0" collapsed="false">
      <c r="A29" s="9" t="s">
        <v>16</v>
      </c>
      <c r="B29" s="9" t="s">
        <v>11</v>
      </c>
      <c r="C29" s="9" t="s">
        <v>76</v>
      </c>
      <c r="D29" s="11" t="s">
        <v>77</v>
      </c>
      <c r="E29" s="12" t="n">
        <v>3</v>
      </c>
      <c r="F29" s="12" t="n">
        <v>3</v>
      </c>
      <c r="G29" s="12" t="n">
        <v>3</v>
      </c>
      <c r="H29" s="12" t="n">
        <v>2</v>
      </c>
      <c r="I29" s="10" t="n">
        <f aca="false">E29/5*35+F29/5*30+G29/5*20+H29/5*15</f>
        <v>57</v>
      </c>
      <c r="J29" s="12" t="n">
        <v>0</v>
      </c>
      <c r="K29" s="10" t="n">
        <f aca="false">MAX(0,I29-J29)</f>
        <v>57</v>
      </c>
      <c r="L29" s="9" t="n">
        <f aca="false">COUNTIFS($A$2:$A$64,A29,$B$2:$B$64,B29,$K$2:$K$64,"&gt;"&amp;K29)+1</f>
        <v>1</v>
      </c>
      <c r="M29" s="9" t="str">
        <f aca="false">IF(L29&lt;=CEILING(COUNTIFS($A$2:$A$64,A29,$B$2:$B$64,B29)/2,1),"Pass","Fail")</f>
        <v>Pass</v>
      </c>
      <c r="N29" s="9"/>
      <c r="O29" s="9"/>
      <c r="P29" s="9"/>
      <c r="Q29" s="9" t="s">
        <v>157</v>
      </c>
      <c r="R29" s="9" t="s">
        <v>158</v>
      </c>
      <c r="S29" s="9" t="s">
        <v>159</v>
      </c>
      <c r="T29" s="9" t="s">
        <v>251</v>
      </c>
      <c r="U29" s="13" t="s">
        <v>252</v>
      </c>
      <c r="V29" s="9" t="s">
        <v>162</v>
      </c>
      <c r="W29" s="14" t="n">
        <v>39709</v>
      </c>
      <c r="X29" s="11" t="s">
        <v>253</v>
      </c>
      <c r="Y29" s="11"/>
    </row>
    <row r="30" customFormat="false" ht="35.05" hidden="false" customHeight="false" outlineLevel="0" collapsed="false">
      <c r="A30" s="9" t="s">
        <v>16</v>
      </c>
      <c r="B30" s="9" t="s">
        <v>11</v>
      </c>
      <c r="C30" s="9" t="s">
        <v>79</v>
      </c>
      <c r="D30" s="11" t="s">
        <v>80</v>
      </c>
      <c r="E30" s="12" t="n">
        <v>3</v>
      </c>
      <c r="F30" s="12" t="n">
        <v>3</v>
      </c>
      <c r="G30" s="12" t="n">
        <v>3</v>
      </c>
      <c r="H30" s="12" t="n">
        <v>2</v>
      </c>
      <c r="I30" s="10" t="n">
        <f aca="false">E30/5*35+F30/5*30+G30/5*20+H30/5*15</f>
        <v>57</v>
      </c>
      <c r="J30" s="12" t="n">
        <v>0</v>
      </c>
      <c r="K30" s="10" t="n">
        <f aca="false">MAX(0,I30-J30)</f>
        <v>57</v>
      </c>
      <c r="L30" s="9" t="n">
        <f aca="false">COUNTIFS($A$2:$A$64,A30,$B$2:$B$64,B30,$K$2:$K$64,"&gt;"&amp;K30)+1</f>
        <v>1</v>
      </c>
      <c r="M30" s="9" t="str">
        <f aca="false">IF(L30&lt;=CEILING(COUNTIFS($A$2:$A$64,A30,$B$2:$B$64,B30)/2,1),"Pass","Fail")</f>
        <v>Pass</v>
      </c>
      <c r="N30" s="9"/>
      <c r="O30" s="9"/>
      <c r="P30" s="9"/>
      <c r="Q30" s="9" t="s">
        <v>157</v>
      </c>
      <c r="R30" s="9" t="s">
        <v>158</v>
      </c>
      <c r="S30" s="9" t="s">
        <v>159</v>
      </c>
      <c r="T30" s="9" t="s">
        <v>251</v>
      </c>
      <c r="U30" s="13" t="s">
        <v>254</v>
      </c>
      <c r="V30" s="9" t="s">
        <v>162</v>
      </c>
      <c r="W30" s="14" t="n">
        <v>23467</v>
      </c>
      <c r="X30" s="11" t="s">
        <v>255</v>
      </c>
      <c r="Y30" s="11" t="s">
        <v>256</v>
      </c>
    </row>
    <row r="31" customFormat="false" ht="35.05" hidden="false" customHeight="false" outlineLevel="0" collapsed="false">
      <c r="A31" s="9" t="s">
        <v>16</v>
      </c>
      <c r="B31" s="9" t="s">
        <v>11</v>
      </c>
      <c r="C31" s="9" t="s">
        <v>82</v>
      </c>
      <c r="D31" s="11" t="s">
        <v>83</v>
      </c>
      <c r="E31" s="12" t="n">
        <v>2</v>
      </c>
      <c r="F31" s="12" t="n">
        <v>3</v>
      </c>
      <c r="G31" s="12" t="n">
        <v>2</v>
      </c>
      <c r="H31" s="12" t="n">
        <v>3</v>
      </c>
      <c r="I31" s="10" t="n">
        <f aca="false">E31/5*35+F31/5*30+G31/5*20+H31/5*15</f>
        <v>49</v>
      </c>
      <c r="J31" s="12" t="n">
        <v>0</v>
      </c>
      <c r="K31" s="10" t="n">
        <f aca="false">MAX(0,I31-J31)</f>
        <v>49</v>
      </c>
      <c r="L31" s="9" t="n">
        <f aca="false">COUNTIFS($A$2:$A$64,A31,$B$2:$B$64,B31,$K$2:$K$64,"&gt;"&amp;K31)+1</f>
        <v>3</v>
      </c>
      <c r="M31" s="9" t="str">
        <f aca="false">IF(L31&lt;=CEILING(COUNTIFS($A$2:$A$64,A31,$B$2:$B$64,B31)/2,1),"Pass","Fail")</f>
        <v>Pass</v>
      </c>
      <c r="N31" s="9"/>
      <c r="O31" s="9"/>
      <c r="P31" s="9"/>
      <c r="Q31" s="9" t="s">
        <v>157</v>
      </c>
      <c r="R31" s="9" t="s">
        <v>158</v>
      </c>
      <c r="S31" s="9" t="s">
        <v>159</v>
      </c>
      <c r="T31" s="9" t="s">
        <v>251</v>
      </c>
      <c r="U31" s="13" t="s">
        <v>257</v>
      </c>
      <c r="V31" s="9" t="s">
        <v>162</v>
      </c>
      <c r="W31" s="14" t="n">
        <v>27472</v>
      </c>
      <c r="X31" s="11" t="s">
        <v>258</v>
      </c>
      <c r="Y31" s="11"/>
    </row>
    <row r="32" customFormat="false" ht="35.05" hidden="false" customHeight="false" outlineLevel="0" collapsed="false">
      <c r="A32" s="9" t="s">
        <v>16</v>
      </c>
      <c r="B32" s="9" t="s">
        <v>11</v>
      </c>
      <c r="C32" s="9" t="s">
        <v>259</v>
      </c>
      <c r="D32" s="11" t="s">
        <v>260</v>
      </c>
      <c r="E32" s="12" t="n">
        <v>1</v>
      </c>
      <c r="F32" s="12" t="n">
        <v>3</v>
      </c>
      <c r="G32" s="12" t="n">
        <v>3</v>
      </c>
      <c r="H32" s="12" t="n">
        <v>3</v>
      </c>
      <c r="I32" s="10" t="n">
        <f aca="false">E32/5*35+F32/5*30+G32/5*20+H32/5*15</f>
        <v>46</v>
      </c>
      <c r="J32" s="12" t="n">
        <v>0</v>
      </c>
      <c r="K32" s="10" t="n">
        <f aca="false">MAX(0,I32-J32)</f>
        <v>46</v>
      </c>
      <c r="L32" s="9" t="n">
        <f aca="false">COUNTIFS($A$2:$A$64,A32,$B$2:$B$64,B32,$K$2:$K$64,"&gt;"&amp;K32)+1</f>
        <v>4</v>
      </c>
      <c r="M32" s="9" t="str">
        <f aca="false">IF(L32&lt;=CEILING(COUNTIFS($A$2:$A$64,A32,$B$2:$B$64,B32)/2,1),"Pass","Fail")</f>
        <v>Fail</v>
      </c>
      <c r="N32" s="9"/>
      <c r="O32" s="9"/>
      <c r="P32" s="9"/>
      <c r="Q32" s="9" t="s">
        <v>157</v>
      </c>
      <c r="R32" s="9" t="s">
        <v>158</v>
      </c>
      <c r="S32" s="9" t="s">
        <v>159</v>
      </c>
      <c r="T32" s="9" t="s">
        <v>160</v>
      </c>
      <c r="U32" s="13" t="s">
        <v>261</v>
      </c>
      <c r="V32" s="9" t="s">
        <v>162</v>
      </c>
      <c r="W32" s="14" t="n">
        <v>40096</v>
      </c>
      <c r="X32" s="11" t="s">
        <v>262</v>
      </c>
      <c r="Y32" s="11"/>
    </row>
    <row r="33" customFormat="false" ht="23.85" hidden="false" customHeight="false" outlineLevel="0" collapsed="false">
      <c r="A33" s="9" t="s">
        <v>16</v>
      </c>
      <c r="B33" s="9" t="s">
        <v>11</v>
      </c>
      <c r="C33" s="9" t="s">
        <v>263</v>
      </c>
      <c r="D33" s="11" t="s">
        <v>264</v>
      </c>
      <c r="E33" s="12" t="n">
        <v>2</v>
      </c>
      <c r="F33" s="12" t="n">
        <v>3</v>
      </c>
      <c r="G33" s="12" t="n">
        <v>2</v>
      </c>
      <c r="H33" s="12" t="n">
        <v>2</v>
      </c>
      <c r="I33" s="10" t="n">
        <f aca="false">E33/5*35+F33/5*30+G33/5*20+H33/5*15</f>
        <v>46</v>
      </c>
      <c r="J33" s="12" t="n">
        <v>0</v>
      </c>
      <c r="K33" s="10" t="n">
        <f aca="false">MAX(0,I33-J33)</f>
        <v>46</v>
      </c>
      <c r="L33" s="9" t="n">
        <f aca="false">COUNTIFS($A$2:$A$64,A33,$B$2:$B$64,B33,$K$2:$K$64,"&gt;"&amp;K33)+1</f>
        <v>4</v>
      </c>
      <c r="M33" s="9" t="str">
        <f aca="false">IF(L33&lt;=CEILING(COUNTIFS($A$2:$A$64,A33,$B$2:$B$64,B33)/2,1),"Pass","Fail")</f>
        <v>Fail</v>
      </c>
      <c r="N33" s="9"/>
      <c r="O33" s="9"/>
      <c r="P33" s="9"/>
      <c r="Q33" s="9" t="s">
        <v>157</v>
      </c>
      <c r="R33" s="9" t="s">
        <v>158</v>
      </c>
      <c r="S33" s="9" t="s">
        <v>159</v>
      </c>
      <c r="T33" s="9" t="s">
        <v>251</v>
      </c>
      <c r="U33" s="13" t="s">
        <v>265</v>
      </c>
      <c r="V33" s="9" t="s">
        <v>162</v>
      </c>
      <c r="W33" s="14" t="n">
        <v>39921</v>
      </c>
      <c r="X33" s="11" t="s">
        <v>266</v>
      </c>
      <c r="Y33" s="11"/>
    </row>
    <row r="34" customFormat="false" ht="23.85" hidden="false" customHeight="false" outlineLevel="0" collapsed="false">
      <c r="A34" s="9" t="s">
        <v>16</v>
      </c>
      <c r="B34" s="9" t="s">
        <v>11</v>
      </c>
      <c r="C34" s="9" t="s">
        <v>267</v>
      </c>
      <c r="D34" s="11" t="s">
        <v>268</v>
      </c>
      <c r="E34" s="12" t="n">
        <v>2</v>
      </c>
      <c r="F34" s="12" t="n">
        <v>3</v>
      </c>
      <c r="G34" s="12" t="n">
        <v>2</v>
      </c>
      <c r="H34" s="12" t="n">
        <v>2</v>
      </c>
      <c r="I34" s="10" t="n">
        <f aca="false">E34/5*35+F34/5*30+G34/5*20+H34/5*15</f>
        <v>46</v>
      </c>
      <c r="J34" s="12" t="n">
        <v>0</v>
      </c>
      <c r="K34" s="10" t="n">
        <f aca="false">MAX(0,I34-J34)</f>
        <v>46</v>
      </c>
      <c r="L34" s="9" t="n">
        <f aca="false">COUNTIFS($A$2:$A$64,A34,$B$2:$B$64,B34,$K$2:$K$64,"&gt;"&amp;K34)+1</f>
        <v>4</v>
      </c>
      <c r="M34" s="9" t="str">
        <f aca="false">IF(L34&lt;=CEILING(COUNTIFS($A$2:$A$64,A34,$B$2:$B$64,B34)/2,1),"Pass","Fail")</f>
        <v>Fail</v>
      </c>
      <c r="N34" s="9"/>
      <c r="O34" s="9"/>
      <c r="P34" s="9"/>
      <c r="Q34" s="9" t="s">
        <v>157</v>
      </c>
      <c r="R34" s="9" t="s">
        <v>158</v>
      </c>
      <c r="S34" s="9" t="s">
        <v>159</v>
      </c>
      <c r="T34" s="9" t="s">
        <v>160</v>
      </c>
      <c r="U34" s="13" t="s">
        <v>269</v>
      </c>
      <c r="V34" s="9" t="s">
        <v>162</v>
      </c>
      <c r="W34" s="14" t="n">
        <v>40186</v>
      </c>
      <c r="X34" s="11" t="s">
        <v>270</v>
      </c>
      <c r="Y34" s="11"/>
    </row>
    <row r="35" customFormat="false" ht="57.45" hidden="false" customHeight="false" outlineLevel="0" collapsed="false">
      <c r="A35" s="9" t="s">
        <v>16</v>
      </c>
      <c r="B35" s="9" t="s">
        <v>17</v>
      </c>
      <c r="C35" s="9" t="s">
        <v>85</v>
      </c>
      <c r="D35" s="11" t="s">
        <v>86</v>
      </c>
      <c r="E35" s="12" t="n">
        <v>3</v>
      </c>
      <c r="F35" s="12" t="n">
        <v>3</v>
      </c>
      <c r="G35" s="12" t="n">
        <v>3</v>
      </c>
      <c r="H35" s="12" t="n">
        <v>1</v>
      </c>
      <c r="I35" s="10" t="n">
        <f aca="false">E35/5*35+F35/5*30+G35/5*20+H35/5*15</f>
        <v>54</v>
      </c>
      <c r="J35" s="12" t="n">
        <v>0</v>
      </c>
      <c r="K35" s="10" t="n">
        <f aca="false">MAX(0,I35-J35)</f>
        <v>54</v>
      </c>
      <c r="L35" s="9" t="n">
        <f aca="false">COUNTIFS($A$2:$A$64,A35,$B$2:$B$64,B35,$K$2:$K$64,"&gt;"&amp;K35)+1</f>
        <v>1</v>
      </c>
      <c r="M35" s="9" t="str">
        <f aca="false">IF(L35&lt;=CEILING(COUNTIFS($A$2:$A$64,A35,$B$2:$B$64,B35)/2,1),"Pass","Fail")</f>
        <v>Pass</v>
      </c>
      <c r="N35" s="9"/>
      <c r="O35" s="9"/>
      <c r="P35" s="9"/>
      <c r="Q35" s="9" t="s">
        <v>157</v>
      </c>
      <c r="R35" s="9" t="s">
        <v>158</v>
      </c>
      <c r="S35" s="9" t="s">
        <v>159</v>
      </c>
      <c r="T35" s="9" t="s">
        <v>160</v>
      </c>
      <c r="U35" s="13" t="s">
        <v>271</v>
      </c>
      <c r="V35" s="9" t="s">
        <v>162</v>
      </c>
      <c r="W35" s="14" t="n">
        <v>30478</v>
      </c>
      <c r="X35" s="11" t="s">
        <v>272</v>
      </c>
      <c r="Y35" s="11"/>
    </row>
    <row r="36" customFormat="false" ht="35.05" hidden="false" customHeight="false" outlineLevel="0" collapsed="false">
      <c r="A36" s="9" t="s">
        <v>16</v>
      </c>
      <c r="B36" s="9" t="s">
        <v>17</v>
      </c>
      <c r="C36" s="9" t="s">
        <v>88</v>
      </c>
      <c r="D36" s="11" t="s">
        <v>89</v>
      </c>
      <c r="E36" s="12" t="n">
        <v>2</v>
      </c>
      <c r="F36" s="12" t="n">
        <v>3</v>
      </c>
      <c r="G36" s="12" t="n">
        <v>2</v>
      </c>
      <c r="H36" s="12" t="n">
        <v>2</v>
      </c>
      <c r="I36" s="10" t="n">
        <f aca="false">E36/5*35+F36/5*30+G36/5*20+H36/5*15</f>
        <v>46</v>
      </c>
      <c r="J36" s="12" t="n">
        <v>0</v>
      </c>
      <c r="K36" s="10" t="n">
        <f aca="false">MAX(0,I36-J36)</f>
        <v>46</v>
      </c>
      <c r="L36" s="9" t="n">
        <f aca="false">COUNTIFS($A$2:$A$64,A36,$B$2:$B$64,B36,$K$2:$K$64,"&gt;"&amp;K36)+1</f>
        <v>2</v>
      </c>
      <c r="M36" s="9" t="str">
        <f aca="false">IF(L36&lt;=CEILING(COUNTIFS($A$2:$A$64,A36,$B$2:$B$64,B36)/2,1),"Pass","Fail")</f>
        <v>Pass</v>
      </c>
      <c r="N36" s="9"/>
      <c r="O36" s="9"/>
      <c r="P36" s="9"/>
      <c r="Q36" s="9" t="s">
        <v>157</v>
      </c>
      <c r="R36" s="9" t="s">
        <v>158</v>
      </c>
      <c r="S36" s="9" t="s">
        <v>159</v>
      </c>
      <c r="T36" s="9" t="s">
        <v>160</v>
      </c>
      <c r="U36" s="13" t="s">
        <v>273</v>
      </c>
      <c r="V36" s="9" t="s">
        <v>162</v>
      </c>
      <c r="W36" s="14" t="n">
        <v>31141</v>
      </c>
      <c r="X36" s="11" t="s">
        <v>274</v>
      </c>
      <c r="Y36" s="11"/>
    </row>
    <row r="37" customFormat="false" ht="35.05" hidden="false" customHeight="false" outlineLevel="0" collapsed="false">
      <c r="A37" s="9" t="s">
        <v>16</v>
      </c>
      <c r="B37" s="9" t="s">
        <v>17</v>
      </c>
      <c r="C37" s="9" t="s">
        <v>91</v>
      </c>
      <c r="D37" s="11" t="s">
        <v>92</v>
      </c>
      <c r="E37" s="12" t="n">
        <v>2</v>
      </c>
      <c r="F37" s="12" t="n">
        <v>3</v>
      </c>
      <c r="G37" s="12" t="n">
        <v>2</v>
      </c>
      <c r="H37" s="12" t="n">
        <v>1</v>
      </c>
      <c r="I37" s="10" t="n">
        <f aca="false">E37/5*35+F37/5*30+G37/5*20+H37/5*15</f>
        <v>43</v>
      </c>
      <c r="J37" s="12" t="n">
        <v>0</v>
      </c>
      <c r="K37" s="10" t="n">
        <f aca="false">MAX(0,I37-J37)</f>
        <v>43</v>
      </c>
      <c r="L37" s="9" t="n">
        <f aca="false">COUNTIFS($A$2:$A$64,A37,$B$2:$B$64,B37,$K$2:$K$64,"&gt;"&amp;K37)+1</f>
        <v>3</v>
      </c>
      <c r="M37" s="9" t="str">
        <f aca="false">IF(L37&lt;=CEILING(COUNTIFS($A$2:$A$64,A37,$B$2:$B$64,B37)/2,1),"Pass","Fail")</f>
        <v>Pass</v>
      </c>
      <c r="N37" s="9"/>
      <c r="O37" s="9"/>
      <c r="P37" s="9"/>
      <c r="Q37" s="9" t="s">
        <v>157</v>
      </c>
      <c r="R37" s="9" t="s">
        <v>158</v>
      </c>
      <c r="S37" s="9" t="s">
        <v>159</v>
      </c>
      <c r="T37" s="9" t="s">
        <v>251</v>
      </c>
      <c r="U37" s="13" t="s">
        <v>275</v>
      </c>
      <c r="V37" s="9" t="s">
        <v>162</v>
      </c>
      <c r="W37" s="14" t="n">
        <v>30307</v>
      </c>
      <c r="X37" s="11" t="s">
        <v>276</v>
      </c>
      <c r="Y37" s="11"/>
    </row>
    <row r="38" customFormat="false" ht="35.05" hidden="false" customHeight="false" outlineLevel="0" collapsed="false">
      <c r="A38" s="9" t="s">
        <v>16</v>
      </c>
      <c r="B38" s="9" t="s">
        <v>17</v>
      </c>
      <c r="C38" s="9" t="s">
        <v>94</v>
      </c>
      <c r="D38" s="11" t="s">
        <v>95</v>
      </c>
      <c r="E38" s="12" t="n">
        <v>2</v>
      </c>
      <c r="F38" s="12" t="n">
        <v>3</v>
      </c>
      <c r="G38" s="12" t="n">
        <v>2</v>
      </c>
      <c r="H38" s="12" t="n">
        <v>1</v>
      </c>
      <c r="I38" s="10" t="n">
        <f aca="false">E38/5*35+F38/5*30+G38/5*20+H38/5*15</f>
        <v>43</v>
      </c>
      <c r="J38" s="12" t="n">
        <v>0</v>
      </c>
      <c r="K38" s="10" t="n">
        <f aca="false">MAX(0,I38-J38)</f>
        <v>43</v>
      </c>
      <c r="L38" s="9" t="n">
        <f aca="false">COUNTIFS($A$2:$A$64,A38,$B$2:$B$64,B38,$K$2:$K$64,"&gt;"&amp;K38)+1</f>
        <v>3</v>
      </c>
      <c r="M38" s="9" t="str">
        <f aca="false">IF(L38&lt;=CEILING(COUNTIFS($A$2:$A$64,A38,$B$2:$B$64,B38)/2,1),"Pass","Fail")</f>
        <v>Pass</v>
      </c>
      <c r="N38" s="9"/>
      <c r="O38" s="9"/>
      <c r="P38" s="9"/>
      <c r="Q38" s="9" t="s">
        <v>157</v>
      </c>
      <c r="R38" s="9" t="s">
        <v>158</v>
      </c>
      <c r="S38" s="9" t="s">
        <v>159</v>
      </c>
      <c r="T38" s="9" t="s">
        <v>251</v>
      </c>
      <c r="U38" s="13" t="s">
        <v>277</v>
      </c>
      <c r="V38" s="9" t="s">
        <v>162</v>
      </c>
      <c r="W38" s="14" t="n">
        <v>37013</v>
      </c>
      <c r="X38" s="11" t="s">
        <v>278</v>
      </c>
      <c r="Y38" s="11"/>
    </row>
    <row r="39" customFormat="false" ht="35.05" hidden="false" customHeight="false" outlineLevel="0" collapsed="false">
      <c r="A39" s="9" t="s">
        <v>16</v>
      </c>
      <c r="B39" s="9" t="s">
        <v>17</v>
      </c>
      <c r="C39" s="9" t="s">
        <v>97</v>
      </c>
      <c r="D39" s="11" t="s">
        <v>98</v>
      </c>
      <c r="E39" s="12" t="n">
        <v>2</v>
      </c>
      <c r="F39" s="12" t="n">
        <v>3</v>
      </c>
      <c r="G39" s="12" t="n">
        <v>2</v>
      </c>
      <c r="H39" s="12" t="n">
        <v>1</v>
      </c>
      <c r="I39" s="10" t="n">
        <f aca="false">E39/5*35+F39/5*30+G39/5*20+H39/5*15</f>
        <v>43</v>
      </c>
      <c r="J39" s="12" t="n">
        <v>0</v>
      </c>
      <c r="K39" s="10" t="n">
        <f aca="false">MAX(0,I39-J39)</f>
        <v>43</v>
      </c>
      <c r="L39" s="9" t="n">
        <f aca="false">COUNTIFS($A$2:$A$64,A39,$B$2:$B$64,B39,$K$2:$K$64,"&gt;"&amp;K39)+1</f>
        <v>3</v>
      </c>
      <c r="M39" s="9" t="str">
        <f aca="false">IF(L39&lt;=CEILING(COUNTIFS($A$2:$A$64,A39,$B$2:$B$64,B39)/2,1),"Pass","Fail")</f>
        <v>Pass</v>
      </c>
      <c r="N39" s="9"/>
      <c r="O39" s="9"/>
      <c r="P39" s="9"/>
      <c r="Q39" s="9" t="s">
        <v>157</v>
      </c>
      <c r="R39" s="9" t="s">
        <v>158</v>
      </c>
      <c r="S39" s="9" t="s">
        <v>159</v>
      </c>
      <c r="T39" s="9" t="s">
        <v>160</v>
      </c>
      <c r="U39" s="13" t="s">
        <v>279</v>
      </c>
      <c r="V39" s="9" t="s">
        <v>162</v>
      </c>
      <c r="W39" s="14" t="n">
        <v>20252</v>
      </c>
      <c r="X39" s="11" t="s">
        <v>280</v>
      </c>
      <c r="Y39" s="11"/>
    </row>
    <row r="40" customFormat="false" ht="35.05" hidden="false" customHeight="false" outlineLevel="0" collapsed="false">
      <c r="A40" s="9" t="s">
        <v>16</v>
      </c>
      <c r="B40" s="9" t="s">
        <v>17</v>
      </c>
      <c r="C40" s="9" t="s">
        <v>281</v>
      </c>
      <c r="D40" s="11" t="s">
        <v>282</v>
      </c>
      <c r="E40" s="12" t="n">
        <v>0</v>
      </c>
      <c r="F40" s="12" t="n">
        <v>3</v>
      </c>
      <c r="G40" s="12" t="n">
        <v>1</v>
      </c>
      <c r="H40" s="12" t="n">
        <v>1</v>
      </c>
      <c r="I40" s="10" t="n">
        <f aca="false">E40/5*35+F40/5*30+G40/5*20+H40/5*15</f>
        <v>25</v>
      </c>
      <c r="J40" s="12" t="n">
        <v>0</v>
      </c>
      <c r="K40" s="10" t="n">
        <f aca="false">MAX(0,I40-J40)</f>
        <v>25</v>
      </c>
      <c r="L40" s="9" t="n">
        <f aca="false">COUNTIFS($A$2:$A$64,A40,$B$2:$B$64,B40,$K$2:$K$64,"&gt;"&amp;K40)+1</f>
        <v>6</v>
      </c>
      <c r="M40" s="9" t="str">
        <f aca="false">IF(L40&lt;=CEILING(COUNTIFS($A$2:$A$64,A40,$B$2:$B$64,B40)/2,1),"Pass","Fail")</f>
        <v>Fail</v>
      </c>
      <c r="N40" s="9"/>
      <c r="O40" s="9"/>
      <c r="P40" s="9"/>
      <c r="Q40" s="9" t="s">
        <v>157</v>
      </c>
      <c r="R40" s="9" t="s">
        <v>158</v>
      </c>
      <c r="S40" s="9" t="s">
        <v>159</v>
      </c>
      <c r="T40" s="9" t="s">
        <v>160</v>
      </c>
      <c r="U40" s="13" t="s">
        <v>283</v>
      </c>
      <c r="V40" s="9" t="s">
        <v>162</v>
      </c>
      <c r="W40" s="14" t="n">
        <v>13106</v>
      </c>
      <c r="X40" s="11" t="s">
        <v>284</v>
      </c>
      <c r="Y40" s="11"/>
    </row>
    <row r="41" customFormat="false" ht="35.05" hidden="false" customHeight="false" outlineLevel="0" collapsed="false">
      <c r="A41" s="9" t="s">
        <v>16</v>
      </c>
      <c r="B41" s="9" t="s">
        <v>17</v>
      </c>
      <c r="C41" s="9" t="s">
        <v>285</v>
      </c>
      <c r="D41" s="11" t="s">
        <v>286</v>
      </c>
      <c r="E41" s="12" t="n">
        <v>0</v>
      </c>
      <c r="F41" s="12" t="n">
        <v>3</v>
      </c>
      <c r="G41" s="12" t="n">
        <v>1</v>
      </c>
      <c r="H41" s="12" t="n">
        <v>1</v>
      </c>
      <c r="I41" s="10" t="n">
        <f aca="false">E41/5*35+F41/5*30+G41/5*20+H41/5*15</f>
        <v>25</v>
      </c>
      <c r="J41" s="12" t="n">
        <v>0</v>
      </c>
      <c r="K41" s="10" t="n">
        <f aca="false">MAX(0,I41-J41)</f>
        <v>25</v>
      </c>
      <c r="L41" s="9" t="n">
        <f aca="false">COUNTIFS($A$2:$A$64,A41,$B$2:$B$64,B41,$K$2:$K$64,"&gt;"&amp;K41)+1</f>
        <v>6</v>
      </c>
      <c r="M41" s="9" t="str">
        <f aca="false">IF(L41&lt;=CEILING(COUNTIFS($A$2:$A$64,A41,$B$2:$B$64,B41)/2,1),"Pass","Fail")</f>
        <v>Fail</v>
      </c>
      <c r="N41" s="9"/>
      <c r="O41" s="9"/>
      <c r="P41" s="9"/>
      <c r="Q41" s="9" t="s">
        <v>157</v>
      </c>
      <c r="R41" s="9" t="s">
        <v>158</v>
      </c>
      <c r="S41" s="9" t="s">
        <v>159</v>
      </c>
      <c r="T41" s="9" t="s">
        <v>251</v>
      </c>
      <c r="U41" s="13" t="s">
        <v>287</v>
      </c>
      <c r="V41" s="9" t="s">
        <v>162</v>
      </c>
      <c r="W41" s="14" t="n">
        <v>19704</v>
      </c>
      <c r="X41" s="11" t="s">
        <v>288</v>
      </c>
      <c r="Y41" s="11"/>
    </row>
    <row r="42" customFormat="false" ht="46.25" hidden="false" customHeight="false" outlineLevel="0" collapsed="false">
      <c r="A42" s="9" t="s">
        <v>16</v>
      </c>
      <c r="B42" s="9" t="s">
        <v>17</v>
      </c>
      <c r="C42" s="9" t="s">
        <v>289</v>
      </c>
      <c r="D42" s="11" t="s">
        <v>290</v>
      </c>
      <c r="E42" s="12" t="n">
        <v>0</v>
      </c>
      <c r="F42" s="12" t="n">
        <v>2</v>
      </c>
      <c r="G42" s="12" t="n">
        <v>2</v>
      </c>
      <c r="H42" s="12" t="n">
        <v>1</v>
      </c>
      <c r="I42" s="10" t="n">
        <f aca="false">E42/5*35+F42/5*30+G42/5*20+H42/5*15</f>
        <v>23</v>
      </c>
      <c r="J42" s="12" t="n">
        <v>0</v>
      </c>
      <c r="K42" s="10" t="n">
        <f aca="false">MAX(0,I42-J42)</f>
        <v>23</v>
      </c>
      <c r="L42" s="9" t="n">
        <f aca="false">COUNTIFS($A$2:$A$64,A42,$B$2:$B$64,B42,$K$2:$K$64,"&gt;"&amp;K42)+1</f>
        <v>8</v>
      </c>
      <c r="M42" s="9" t="str">
        <f aca="false">IF(L42&lt;=CEILING(COUNTIFS($A$2:$A$64,A42,$B$2:$B$64,B42)/2,1),"Pass","Fail")</f>
        <v>Fail</v>
      </c>
      <c r="N42" s="9"/>
      <c r="O42" s="9"/>
      <c r="P42" s="9"/>
      <c r="Q42" s="9" t="s">
        <v>157</v>
      </c>
      <c r="R42" s="9" t="s">
        <v>158</v>
      </c>
      <c r="S42" s="9" t="s">
        <v>159</v>
      </c>
      <c r="T42" s="9" t="s">
        <v>160</v>
      </c>
      <c r="U42" s="13" t="s">
        <v>291</v>
      </c>
      <c r="V42" s="9" t="s">
        <v>162</v>
      </c>
      <c r="W42" s="14" t="n">
        <v>13129</v>
      </c>
      <c r="X42" s="11" t="s">
        <v>292</v>
      </c>
      <c r="Y42" s="11"/>
    </row>
    <row r="43" customFormat="false" ht="35.05" hidden="false" customHeight="false" outlineLevel="0" collapsed="false">
      <c r="A43" s="9" t="s">
        <v>18</v>
      </c>
      <c r="B43" s="9" t="s">
        <v>19</v>
      </c>
      <c r="C43" s="9" t="s">
        <v>100</v>
      </c>
      <c r="D43" s="11" t="s">
        <v>101</v>
      </c>
      <c r="E43" s="12" t="n">
        <v>4</v>
      </c>
      <c r="F43" s="12" t="n">
        <v>2</v>
      </c>
      <c r="G43" s="12" t="n">
        <v>2</v>
      </c>
      <c r="H43" s="12" t="n">
        <v>3</v>
      </c>
      <c r="I43" s="10" t="n">
        <f aca="false">E43/5*35+F43/5*30+G43/5*20+H43/5*15</f>
        <v>57</v>
      </c>
      <c r="J43" s="12" t="n">
        <v>0</v>
      </c>
      <c r="K43" s="10" t="n">
        <f aca="false">MAX(0,I43-J43)</f>
        <v>57</v>
      </c>
      <c r="L43" s="9" t="n">
        <f aca="false">COUNTIFS($A$2:$A$64,A43,$B$2:$B$64,B43,$K$2:$K$64,"&gt;"&amp;K43)+1</f>
        <v>1</v>
      </c>
      <c r="M43" s="9" t="str">
        <f aca="false">IF(L43&lt;=CEILING(COUNTIFS($A$2:$A$64,A43,$B$2:$B$64,B43)/2,1),"Pass","Fail")</f>
        <v>Pass</v>
      </c>
      <c r="N43" s="9"/>
      <c r="O43" s="9"/>
      <c r="P43" s="9"/>
      <c r="Q43" s="9" t="s">
        <v>157</v>
      </c>
      <c r="R43" s="9" t="s">
        <v>158</v>
      </c>
      <c r="S43" s="9" t="s">
        <v>159</v>
      </c>
      <c r="T43" s="9" t="s">
        <v>160</v>
      </c>
      <c r="U43" s="13" t="s">
        <v>293</v>
      </c>
      <c r="V43" s="9" t="s">
        <v>176</v>
      </c>
      <c r="W43" s="14" t="n">
        <v>40150</v>
      </c>
      <c r="X43" s="11" t="s">
        <v>294</v>
      </c>
      <c r="Y43" s="11" t="s">
        <v>295</v>
      </c>
    </row>
    <row r="44" customFormat="false" ht="35.05" hidden="false" customHeight="false" outlineLevel="0" collapsed="false">
      <c r="A44" s="9" t="s">
        <v>18</v>
      </c>
      <c r="B44" s="9" t="s">
        <v>19</v>
      </c>
      <c r="C44" s="9" t="s">
        <v>103</v>
      </c>
      <c r="D44" s="11" t="s">
        <v>104</v>
      </c>
      <c r="E44" s="12" t="n">
        <v>3</v>
      </c>
      <c r="F44" s="12" t="n">
        <v>3</v>
      </c>
      <c r="G44" s="12" t="n">
        <v>2</v>
      </c>
      <c r="H44" s="12" t="n">
        <v>2</v>
      </c>
      <c r="I44" s="10" t="n">
        <f aca="false">E44/5*35+F44/5*30+G44/5*20+H44/5*15</f>
        <v>53</v>
      </c>
      <c r="J44" s="12" t="n">
        <v>0</v>
      </c>
      <c r="K44" s="10" t="n">
        <f aca="false">MAX(0,I44-J44)</f>
        <v>53</v>
      </c>
      <c r="L44" s="9" t="n">
        <f aca="false">COUNTIFS($A$2:$A$64,A44,$B$2:$B$64,B44,$K$2:$K$64,"&gt;"&amp;K44)+1</f>
        <v>2</v>
      </c>
      <c r="M44" s="9" t="str">
        <f aca="false">IF(L44&lt;=CEILING(COUNTIFS($A$2:$A$64,A44,$B$2:$B$64,B44)/2,1),"Pass","Fail")</f>
        <v>Pass</v>
      </c>
      <c r="N44" s="9"/>
      <c r="O44" s="9"/>
      <c r="P44" s="9"/>
      <c r="Q44" s="9" t="s">
        <v>196</v>
      </c>
      <c r="R44" s="9" t="s">
        <v>197</v>
      </c>
      <c r="S44" s="9" t="s">
        <v>159</v>
      </c>
      <c r="T44" s="9" t="s">
        <v>198</v>
      </c>
      <c r="U44" s="13" t="s">
        <v>296</v>
      </c>
      <c r="V44" s="9" t="s">
        <v>162</v>
      </c>
      <c r="W44" s="14" t="n">
        <v>26124</v>
      </c>
      <c r="X44" s="11" t="s">
        <v>297</v>
      </c>
      <c r="Y44" s="11"/>
    </row>
    <row r="45" customFormat="false" ht="35.05" hidden="false" customHeight="false" outlineLevel="0" collapsed="false">
      <c r="A45" s="9" t="s">
        <v>18</v>
      </c>
      <c r="B45" s="9" t="s">
        <v>19</v>
      </c>
      <c r="C45" s="9" t="s">
        <v>298</v>
      </c>
      <c r="D45" s="11" t="s">
        <v>299</v>
      </c>
      <c r="E45" s="12" t="n">
        <v>0</v>
      </c>
      <c r="F45" s="12" t="n">
        <v>2</v>
      </c>
      <c r="G45" s="12" t="n">
        <v>1</v>
      </c>
      <c r="H45" s="12" t="n">
        <v>2</v>
      </c>
      <c r="I45" s="10" t="n">
        <f aca="false">E45/5*35+F45/5*30+G45/5*20+H45/5*15</f>
        <v>22</v>
      </c>
      <c r="J45" s="12" t="n">
        <v>0</v>
      </c>
      <c r="K45" s="10" t="n">
        <f aca="false">MAX(0,I45-J45)</f>
        <v>22</v>
      </c>
      <c r="L45" s="9" t="n">
        <f aca="false">COUNTIFS($A$2:$A$64,A45,$B$2:$B$64,B45,$K$2:$K$64,"&gt;"&amp;K45)+1</f>
        <v>3</v>
      </c>
      <c r="M45" s="9" t="str">
        <f aca="false">IF(L45&lt;=CEILING(COUNTIFS($A$2:$A$64,A45,$B$2:$B$64,B45)/2,1),"Pass","Fail")</f>
        <v>Fail</v>
      </c>
      <c r="N45" s="9"/>
      <c r="O45" s="9"/>
      <c r="P45" s="9"/>
      <c r="Q45" s="9" t="s">
        <v>157</v>
      </c>
      <c r="R45" s="9" t="s">
        <v>158</v>
      </c>
      <c r="S45" s="9" t="s">
        <v>159</v>
      </c>
      <c r="T45" s="9" t="s">
        <v>160</v>
      </c>
      <c r="U45" s="13" t="s">
        <v>300</v>
      </c>
      <c r="V45" s="9" t="s">
        <v>176</v>
      </c>
      <c r="W45" s="14" t="n">
        <v>36476</v>
      </c>
      <c r="X45" s="11" t="s">
        <v>301</v>
      </c>
      <c r="Y45" s="11"/>
    </row>
    <row r="46" customFormat="false" ht="68.65" hidden="false" customHeight="false" outlineLevel="0" collapsed="false">
      <c r="A46" s="9" t="s">
        <v>18</v>
      </c>
      <c r="B46" s="9" t="s">
        <v>20</v>
      </c>
      <c r="C46" s="9" t="s">
        <v>106</v>
      </c>
      <c r="D46" s="11" t="s">
        <v>107</v>
      </c>
      <c r="E46" s="12" t="n">
        <v>0</v>
      </c>
      <c r="F46" s="12" t="n">
        <v>3</v>
      </c>
      <c r="G46" s="12" t="n">
        <v>2</v>
      </c>
      <c r="H46" s="12" t="n">
        <v>3</v>
      </c>
      <c r="I46" s="10" t="n">
        <f aca="false">E46/5*35+F46/5*30+G46/5*20+H46/5*15</f>
        <v>35</v>
      </c>
      <c r="J46" s="12" t="n">
        <v>0</v>
      </c>
      <c r="K46" s="10" t="n">
        <f aca="false">MAX(0,I46-J46)</f>
        <v>35</v>
      </c>
      <c r="L46" s="9" t="n">
        <f aca="false">COUNTIFS($A$2:$A$64,A46,$B$2:$B$64,B46,$K$2:$K$64,"&gt;"&amp;K46)+1</f>
        <v>1</v>
      </c>
      <c r="M46" s="9" t="str">
        <f aca="false">IF(L46&lt;=CEILING(COUNTIFS($A$2:$A$64,A46,$B$2:$B$64,B46)/2,1),"Pass","Fail")</f>
        <v>Pass</v>
      </c>
      <c r="N46" s="9"/>
      <c r="O46" s="9"/>
      <c r="P46" s="9"/>
      <c r="Q46" s="9" t="s">
        <v>157</v>
      </c>
      <c r="R46" s="9" t="s">
        <v>158</v>
      </c>
      <c r="S46" s="9" t="s">
        <v>159</v>
      </c>
      <c r="T46" s="9" t="s">
        <v>160</v>
      </c>
      <c r="U46" s="13" t="s">
        <v>302</v>
      </c>
      <c r="V46" s="9" t="s">
        <v>176</v>
      </c>
      <c r="W46" s="14" t="n">
        <v>14524</v>
      </c>
      <c r="X46" s="11" t="s">
        <v>303</v>
      </c>
      <c r="Y46" s="11" t="s">
        <v>304</v>
      </c>
    </row>
    <row r="47" customFormat="false" ht="57.45" hidden="false" customHeight="false" outlineLevel="0" collapsed="false">
      <c r="A47" s="9" t="s">
        <v>18</v>
      </c>
      <c r="B47" s="9" t="s">
        <v>20</v>
      </c>
      <c r="C47" s="9" t="s">
        <v>109</v>
      </c>
      <c r="D47" s="11" t="s">
        <v>110</v>
      </c>
      <c r="E47" s="12" t="n">
        <v>1</v>
      </c>
      <c r="F47" s="12" t="n">
        <v>3</v>
      </c>
      <c r="G47" s="12" t="n">
        <v>2</v>
      </c>
      <c r="H47" s="12" t="n">
        <v>3</v>
      </c>
      <c r="I47" s="10" t="n">
        <f aca="false">E47/5*35+F47/5*30+G47/5*20+H47/5*15</f>
        <v>42</v>
      </c>
      <c r="J47" s="12" t="n">
        <v>10</v>
      </c>
      <c r="K47" s="10" t="n">
        <f aca="false">MAX(0,I47-J47)</f>
        <v>32</v>
      </c>
      <c r="L47" s="9" t="n">
        <f aca="false">COUNTIFS($A$2:$A$64,A47,$B$2:$B$64,B47,$K$2:$K$64,"&gt;"&amp;K47)+1</f>
        <v>2</v>
      </c>
      <c r="M47" s="9" t="str">
        <f aca="false">IF(L47&lt;=CEILING(COUNTIFS($A$2:$A$64,A47,$B$2:$B$64,B47)/2,1),"Pass","Fail")</f>
        <v>Pass</v>
      </c>
      <c r="N47" s="9" t="s">
        <v>305</v>
      </c>
      <c r="O47" s="9"/>
      <c r="P47" s="9"/>
      <c r="Q47" s="9" t="s">
        <v>157</v>
      </c>
      <c r="R47" s="9" t="s">
        <v>158</v>
      </c>
      <c r="S47" s="9" t="s">
        <v>159</v>
      </c>
      <c r="T47" s="9" t="s">
        <v>160</v>
      </c>
      <c r="U47" s="13" t="s">
        <v>306</v>
      </c>
      <c r="V47" s="9" t="s">
        <v>176</v>
      </c>
      <c r="W47" s="14" t="n">
        <v>39685</v>
      </c>
      <c r="X47" s="11" t="s">
        <v>307</v>
      </c>
      <c r="Y47" s="11" t="s">
        <v>308</v>
      </c>
    </row>
    <row r="48" customFormat="false" ht="46.25" hidden="false" customHeight="false" outlineLevel="0" collapsed="false">
      <c r="A48" s="9" t="s">
        <v>18</v>
      </c>
      <c r="B48" s="9" t="s">
        <v>20</v>
      </c>
      <c r="C48" s="9" t="s">
        <v>309</v>
      </c>
      <c r="D48" s="11" t="s">
        <v>310</v>
      </c>
      <c r="E48" s="12" t="n">
        <v>1</v>
      </c>
      <c r="F48" s="12" t="n">
        <v>2</v>
      </c>
      <c r="G48" s="12" t="n">
        <v>2</v>
      </c>
      <c r="H48" s="12" t="n">
        <v>1</v>
      </c>
      <c r="I48" s="10" t="n">
        <f aca="false">E48/5*35+F48/5*30+G48/5*20+H48/5*15</f>
        <v>30</v>
      </c>
      <c r="J48" s="12" t="n">
        <v>0</v>
      </c>
      <c r="K48" s="10" t="n">
        <f aca="false">MAX(0,I48-J48)</f>
        <v>30</v>
      </c>
      <c r="L48" s="9" t="n">
        <f aca="false">COUNTIFS($A$2:$A$64,A48,$B$2:$B$64,B48,$K$2:$K$64,"&gt;"&amp;K48)+1</f>
        <v>3</v>
      </c>
      <c r="M48" s="9" t="str">
        <f aca="false">IF(L48&lt;=CEILING(COUNTIFS($A$2:$A$64,A48,$B$2:$B$64,B48)/2,1),"Pass","Fail")</f>
        <v>Fail</v>
      </c>
      <c r="N48" s="9"/>
      <c r="O48" s="9"/>
      <c r="P48" s="9"/>
      <c r="Q48" s="9" t="s">
        <v>157</v>
      </c>
      <c r="R48" s="9" t="s">
        <v>158</v>
      </c>
      <c r="S48" s="9" t="s">
        <v>159</v>
      </c>
      <c r="T48" s="9" t="s">
        <v>160</v>
      </c>
      <c r="U48" s="13" t="s">
        <v>311</v>
      </c>
      <c r="V48" s="9" t="s">
        <v>176</v>
      </c>
      <c r="W48" s="14" t="n">
        <v>7550</v>
      </c>
      <c r="X48" s="11" t="s">
        <v>312</v>
      </c>
      <c r="Y48" s="11" t="s">
        <v>313</v>
      </c>
    </row>
    <row r="49" customFormat="false" ht="35.05" hidden="false" customHeight="false" outlineLevel="0" collapsed="false">
      <c r="A49" s="9" t="s">
        <v>18</v>
      </c>
      <c r="B49" s="9" t="s">
        <v>20</v>
      </c>
      <c r="C49" s="9" t="s">
        <v>314</v>
      </c>
      <c r="D49" s="11" t="s">
        <v>315</v>
      </c>
      <c r="E49" s="12" t="n">
        <v>2</v>
      </c>
      <c r="F49" s="12" t="n">
        <v>3</v>
      </c>
      <c r="G49" s="12" t="n">
        <v>1</v>
      </c>
      <c r="H49" s="12" t="n">
        <v>1</v>
      </c>
      <c r="I49" s="10" t="n">
        <f aca="false">E49/5*35+F49/5*30+G49/5*20+H49/5*15</f>
        <v>39</v>
      </c>
      <c r="J49" s="12" t="n">
        <v>10</v>
      </c>
      <c r="K49" s="10" t="n">
        <f aca="false">MAX(0,I49-J49)</f>
        <v>29</v>
      </c>
      <c r="L49" s="9" t="n">
        <f aca="false">COUNTIFS($A$2:$A$64,A49,$B$2:$B$64,B49,$K$2:$K$64,"&gt;"&amp;K49)+1</f>
        <v>4</v>
      </c>
      <c r="M49" s="9" t="str">
        <f aca="false">IF(L49&lt;=CEILING(COUNTIFS($A$2:$A$64,A49,$B$2:$B$64,B49)/2,1),"Pass","Fail")</f>
        <v>Fail</v>
      </c>
      <c r="N49" s="9" t="s">
        <v>305</v>
      </c>
      <c r="O49" s="9"/>
      <c r="P49" s="9"/>
      <c r="Q49" s="9" t="s">
        <v>157</v>
      </c>
      <c r="R49" s="9" t="s">
        <v>158</v>
      </c>
      <c r="S49" s="9" t="s">
        <v>159</v>
      </c>
      <c r="T49" s="9" t="s">
        <v>160</v>
      </c>
      <c r="U49" s="13" t="s">
        <v>316</v>
      </c>
      <c r="V49" s="9" t="s">
        <v>176</v>
      </c>
      <c r="W49" s="14" t="n">
        <v>17271</v>
      </c>
      <c r="X49" s="11" t="s">
        <v>317</v>
      </c>
      <c r="Y49" s="11"/>
    </row>
    <row r="50" customFormat="false" ht="23.85" hidden="false" customHeight="false" outlineLevel="0" collapsed="false">
      <c r="A50" s="9" t="s">
        <v>18</v>
      </c>
      <c r="B50" s="9" t="s">
        <v>11</v>
      </c>
      <c r="C50" s="9" t="s">
        <v>112</v>
      </c>
      <c r="D50" s="11" t="s">
        <v>113</v>
      </c>
      <c r="E50" s="12" t="n">
        <v>2</v>
      </c>
      <c r="F50" s="12" t="n">
        <v>3</v>
      </c>
      <c r="G50" s="12" t="n">
        <v>3</v>
      </c>
      <c r="H50" s="12" t="n">
        <v>4</v>
      </c>
      <c r="I50" s="10" t="n">
        <f aca="false">E50/5*35+F50/5*30+G50/5*20+H50/5*15</f>
        <v>56</v>
      </c>
      <c r="J50" s="12" t="n">
        <v>0</v>
      </c>
      <c r="K50" s="10" t="n">
        <f aca="false">MAX(0,I50-J50)</f>
        <v>56</v>
      </c>
      <c r="L50" s="9" t="n">
        <f aca="false">COUNTIFS($A$2:$A$64,A50,$B$2:$B$64,B50,$K$2:$K$64,"&gt;"&amp;K50)+1</f>
        <v>1</v>
      </c>
      <c r="M50" s="9" t="str">
        <f aca="false">IF(L50&lt;=CEILING(COUNTIFS($A$2:$A$64,A50,$B$2:$B$64,B50)/2,1),"Pass","Fail")</f>
        <v>Pass</v>
      </c>
      <c r="N50" s="9"/>
      <c r="O50" s="9"/>
      <c r="P50" s="9"/>
      <c r="Q50" s="9" t="s">
        <v>157</v>
      </c>
      <c r="R50" s="9" t="s">
        <v>158</v>
      </c>
      <c r="S50" s="9" t="s">
        <v>159</v>
      </c>
      <c r="T50" s="9" t="s">
        <v>160</v>
      </c>
      <c r="U50" s="13" t="s">
        <v>318</v>
      </c>
      <c r="V50" s="9" t="s">
        <v>162</v>
      </c>
      <c r="W50" s="14" t="n">
        <v>40912</v>
      </c>
      <c r="X50" s="11" t="s">
        <v>319</v>
      </c>
      <c r="Y50" s="11"/>
    </row>
    <row r="51" customFormat="false" ht="91" hidden="false" customHeight="false" outlineLevel="0" collapsed="false">
      <c r="A51" s="9" t="s">
        <v>18</v>
      </c>
      <c r="B51" s="9" t="s">
        <v>11</v>
      </c>
      <c r="C51" s="9" t="s">
        <v>320</v>
      </c>
      <c r="D51" s="11" t="s">
        <v>321</v>
      </c>
      <c r="E51" s="12" t="n">
        <v>2</v>
      </c>
      <c r="F51" s="12" t="n">
        <v>3</v>
      </c>
      <c r="G51" s="12" t="n">
        <v>3</v>
      </c>
      <c r="H51" s="12" t="n">
        <v>3</v>
      </c>
      <c r="I51" s="10" t="n">
        <f aca="false">E51/5*35+F51/5*30+G51/5*20+H51/5*15</f>
        <v>53</v>
      </c>
      <c r="J51" s="12" t="n">
        <v>0</v>
      </c>
      <c r="K51" s="10" t="n">
        <f aca="false">MAX(0,I51-J51)</f>
        <v>53</v>
      </c>
      <c r="L51" s="9" t="n">
        <f aca="false">COUNTIFS($A$2:$A$64,A51,$B$2:$B$64,B51,$K$2:$K$64,"&gt;"&amp;K51)+1</f>
        <v>2</v>
      </c>
      <c r="M51" s="9" t="str">
        <f aca="false">IF(L51&lt;=CEILING(COUNTIFS($A$2:$A$64,A51,$B$2:$B$64,B51)/2,1),"Pass","Fail")</f>
        <v>Fail</v>
      </c>
      <c r="N51" s="9"/>
      <c r="O51" s="9"/>
      <c r="P51" s="9"/>
      <c r="Q51" s="9" t="s">
        <v>157</v>
      </c>
      <c r="R51" s="9" t="s">
        <v>158</v>
      </c>
      <c r="S51" s="9" t="s">
        <v>159</v>
      </c>
      <c r="T51" s="9" t="s">
        <v>160</v>
      </c>
      <c r="U51" s="13" t="s">
        <v>322</v>
      </c>
      <c r="V51" s="9" t="s">
        <v>176</v>
      </c>
      <c r="W51" s="14" t="n">
        <v>41096</v>
      </c>
      <c r="X51" s="11" t="s">
        <v>323</v>
      </c>
      <c r="Y51" s="11" t="s">
        <v>324</v>
      </c>
    </row>
    <row r="52" customFormat="false" ht="23.85" hidden="false" customHeight="false" outlineLevel="0" collapsed="false">
      <c r="A52" s="9" t="s">
        <v>21</v>
      </c>
      <c r="B52" s="9" t="s">
        <v>11</v>
      </c>
      <c r="C52" s="9" t="s">
        <v>115</v>
      </c>
      <c r="D52" s="11" t="s">
        <v>116</v>
      </c>
      <c r="E52" s="12" t="n">
        <v>3</v>
      </c>
      <c r="F52" s="12" t="n">
        <v>3</v>
      </c>
      <c r="G52" s="12" t="n">
        <v>2</v>
      </c>
      <c r="H52" s="12" t="n">
        <v>2</v>
      </c>
      <c r="I52" s="10" t="n">
        <f aca="false">E52/5*35+F52/5*30+G52/5*20+H52/5*15</f>
        <v>53</v>
      </c>
      <c r="J52" s="12" t="n">
        <v>0</v>
      </c>
      <c r="K52" s="10" t="n">
        <f aca="false">MAX(0,I52-J52)</f>
        <v>53</v>
      </c>
      <c r="L52" s="9" t="n">
        <f aca="false">COUNTIFS($A$2:$A$64,A52,$B$2:$B$64,B52,$K$2:$K$64,"&gt;"&amp;K52)+1</f>
        <v>1</v>
      </c>
      <c r="M52" s="9" t="str">
        <f aca="false">IF(L52&lt;=CEILING(COUNTIFS($A$2:$A$64,A52,$B$2:$B$64,B52)/2,1),"Pass","Fail")</f>
        <v>Pass</v>
      </c>
      <c r="N52" s="9"/>
      <c r="O52" s="9"/>
      <c r="P52" s="9"/>
      <c r="Q52" s="9" t="s">
        <v>157</v>
      </c>
      <c r="R52" s="9" t="s">
        <v>158</v>
      </c>
      <c r="S52" s="9" t="s">
        <v>159</v>
      </c>
      <c r="T52" s="9" t="s">
        <v>160</v>
      </c>
      <c r="U52" s="13" t="s">
        <v>325</v>
      </c>
      <c r="V52" s="9" t="s">
        <v>162</v>
      </c>
      <c r="W52" s="14" t="n">
        <v>17222</v>
      </c>
      <c r="X52" s="11" t="s">
        <v>326</v>
      </c>
      <c r="Y52" s="11"/>
    </row>
    <row r="53" customFormat="false" ht="46.25" hidden="false" customHeight="false" outlineLevel="0" collapsed="false">
      <c r="A53" s="9" t="s">
        <v>21</v>
      </c>
      <c r="B53" s="9" t="s">
        <v>11</v>
      </c>
      <c r="C53" s="9" t="s">
        <v>118</v>
      </c>
      <c r="D53" s="11" t="s">
        <v>119</v>
      </c>
      <c r="E53" s="12" t="n">
        <v>2</v>
      </c>
      <c r="F53" s="12" t="n">
        <v>3</v>
      </c>
      <c r="G53" s="12" t="n">
        <v>3</v>
      </c>
      <c r="H53" s="12" t="n">
        <v>2</v>
      </c>
      <c r="I53" s="10" t="n">
        <f aca="false">E53/5*35+F53/5*30+G53/5*20+H53/5*15</f>
        <v>50</v>
      </c>
      <c r="J53" s="12" t="n">
        <v>0</v>
      </c>
      <c r="K53" s="10" t="n">
        <f aca="false">MAX(0,I53-J53)</f>
        <v>50</v>
      </c>
      <c r="L53" s="9" t="n">
        <f aca="false">COUNTIFS($A$2:$A$64,A53,$B$2:$B$64,B53,$K$2:$K$64,"&gt;"&amp;K53)+1</f>
        <v>2</v>
      </c>
      <c r="M53" s="9" t="str">
        <f aca="false">IF(L53&lt;=CEILING(COUNTIFS($A$2:$A$64,A53,$B$2:$B$64,B53)/2,1),"Pass","Fail")</f>
        <v>Pass</v>
      </c>
      <c r="N53" s="9"/>
      <c r="O53" s="9"/>
      <c r="P53" s="9"/>
      <c r="Q53" s="9" t="s">
        <v>157</v>
      </c>
      <c r="R53" s="9" t="s">
        <v>158</v>
      </c>
      <c r="S53" s="9" t="s">
        <v>159</v>
      </c>
      <c r="T53" s="9" t="s">
        <v>160</v>
      </c>
      <c r="U53" s="13" t="s">
        <v>327</v>
      </c>
      <c r="V53" s="9" t="s">
        <v>162</v>
      </c>
      <c r="W53" s="14" t="n">
        <v>7072</v>
      </c>
      <c r="X53" s="11" t="s">
        <v>328</v>
      </c>
      <c r="Y53" s="11" t="s">
        <v>329</v>
      </c>
    </row>
    <row r="54" customFormat="false" ht="35.05" hidden="false" customHeight="false" outlineLevel="0" collapsed="false">
      <c r="A54" s="9" t="s">
        <v>21</v>
      </c>
      <c r="B54" s="9" t="s">
        <v>11</v>
      </c>
      <c r="C54" s="9" t="s">
        <v>121</v>
      </c>
      <c r="D54" s="11" t="s">
        <v>122</v>
      </c>
      <c r="E54" s="12" t="n">
        <v>1</v>
      </c>
      <c r="F54" s="12" t="n">
        <v>4</v>
      </c>
      <c r="G54" s="12" t="n">
        <v>3</v>
      </c>
      <c r="H54" s="12" t="n">
        <v>2</v>
      </c>
      <c r="I54" s="10" t="n">
        <f aca="false">E54/5*35+F54/5*30+G54/5*20+H54/5*15</f>
        <v>49</v>
      </c>
      <c r="J54" s="12" t="n">
        <v>0</v>
      </c>
      <c r="K54" s="10" t="n">
        <f aca="false">MAX(0,I54-J54)</f>
        <v>49</v>
      </c>
      <c r="L54" s="9" t="n">
        <f aca="false">COUNTIFS($A$2:$A$64,A54,$B$2:$B$64,B54,$K$2:$K$64,"&gt;"&amp;K54)+1</f>
        <v>3</v>
      </c>
      <c r="M54" s="9" t="str">
        <f aca="false">IF(L54&lt;=CEILING(COUNTIFS($A$2:$A$64,A54,$B$2:$B$64,B54)/2,1),"Pass","Fail")</f>
        <v>Pass</v>
      </c>
      <c r="N54" s="9"/>
      <c r="O54" s="9"/>
      <c r="P54" s="9"/>
      <c r="Q54" s="9" t="s">
        <v>157</v>
      </c>
      <c r="R54" s="9" t="s">
        <v>158</v>
      </c>
      <c r="S54" s="9" t="s">
        <v>159</v>
      </c>
      <c r="T54" s="9" t="s">
        <v>160</v>
      </c>
      <c r="U54" s="13" t="s">
        <v>330</v>
      </c>
      <c r="V54" s="9" t="s">
        <v>162</v>
      </c>
      <c r="W54" s="14" t="n">
        <v>36346</v>
      </c>
      <c r="X54" s="11" t="s">
        <v>331</v>
      </c>
      <c r="Y54" s="11"/>
    </row>
    <row r="55" customFormat="false" ht="23.85" hidden="false" customHeight="false" outlineLevel="0" collapsed="false">
      <c r="A55" s="9" t="s">
        <v>21</v>
      </c>
      <c r="B55" s="9" t="s">
        <v>11</v>
      </c>
      <c r="C55" s="9" t="s">
        <v>332</v>
      </c>
      <c r="D55" s="11" t="s">
        <v>333</v>
      </c>
      <c r="E55" s="12" t="n">
        <v>1</v>
      </c>
      <c r="F55" s="12" t="n">
        <v>3</v>
      </c>
      <c r="G55" s="12" t="n">
        <v>2</v>
      </c>
      <c r="H55" s="12" t="n">
        <v>1</v>
      </c>
      <c r="I55" s="10" t="n">
        <f aca="false">E55/5*35+F55/5*30+G55/5*20+H55/5*15</f>
        <v>36</v>
      </c>
      <c r="J55" s="12" t="n">
        <v>0</v>
      </c>
      <c r="K55" s="10" t="n">
        <f aca="false">MAX(0,I55-J55)</f>
        <v>36</v>
      </c>
      <c r="L55" s="9" t="n">
        <f aca="false">COUNTIFS($A$2:$A$64,A55,$B$2:$B$64,B55,$K$2:$K$64,"&gt;"&amp;K55)+1</f>
        <v>4</v>
      </c>
      <c r="M55" s="9" t="str">
        <f aca="false">IF(L55&lt;=CEILING(COUNTIFS($A$2:$A$64,A55,$B$2:$B$64,B55)/2,1),"Pass","Fail")</f>
        <v>Fail</v>
      </c>
      <c r="N55" s="9"/>
      <c r="O55" s="9"/>
      <c r="P55" s="9"/>
      <c r="Q55" s="9" t="s">
        <v>157</v>
      </c>
      <c r="R55" s="9" t="s">
        <v>158</v>
      </c>
      <c r="S55" s="9" t="s">
        <v>159</v>
      </c>
      <c r="T55" s="9" t="s">
        <v>160</v>
      </c>
      <c r="U55" s="13" t="s">
        <v>334</v>
      </c>
      <c r="V55" s="9" t="s">
        <v>162</v>
      </c>
      <c r="W55" s="14" t="n">
        <v>18020</v>
      </c>
      <c r="X55" s="11" t="s">
        <v>335</v>
      </c>
      <c r="Y55" s="11"/>
    </row>
    <row r="56" customFormat="false" ht="57.45" hidden="false" customHeight="false" outlineLevel="0" collapsed="false">
      <c r="A56" s="9" t="s">
        <v>21</v>
      </c>
      <c r="B56" s="9" t="s">
        <v>11</v>
      </c>
      <c r="C56" s="9" t="s">
        <v>336</v>
      </c>
      <c r="D56" s="11" t="s">
        <v>337</v>
      </c>
      <c r="E56" s="12" t="n">
        <v>2</v>
      </c>
      <c r="F56" s="12" t="n">
        <v>2</v>
      </c>
      <c r="G56" s="12" t="n">
        <v>1</v>
      </c>
      <c r="H56" s="12" t="n">
        <v>0</v>
      </c>
      <c r="I56" s="10" t="n">
        <f aca="false">E56/5*35+F56/5*30+G56/5*20+H56/5*15</f>
        <v>30</v>
      </c>
      <c r="J56" s="12" t="n">
        <v>0</v>
      </c>
      <c r="K56" s="10" t="n">
        <f aca="false">MAX(0,I56-J56)</f>
        <v>30</v>
      </c>
      <c r="L56" s="9" t="n">
        <f aca="false">COUNTIFS($A$2:$A$64,A56,$B$2:$B$64,B56,$K$2:$K$64,"&gt;"&amp;K56)+1</f>
        <v>5</v>
      </c>
      <c r="M56" s="9" t="str">
        <f aca="false">IF(L56&lt;=CEILING(COUNTIFS($A$2:$A$64,A56,$B$2:$B$64,B56)/2,1),"Pass","Fail")</f>
        <v>Fail</v>
      </c>
      <c r="N56" s="9"/>
      <c r="O56" s="9"/>
      <c r="P56" s="9"/>
      <c r="Q56" s="9" t="s">
        <v>157</v>
      </c>
      <c r="R56" s="9" t="s">
        <v>158</v>
      </c>
      <c r="S56" s="9" t="s">
        <v>159</v>
      </c>
      <c r="T56" s="9" t="s">
        <v>338</v>
      </c>
      <c r="U56" s="13" t="s">
        <v>339</v>
      </c>
      <c r="V56" s="9" t="s">
        <v>162</v>
      </c>
      <c r="W56" s="14" t="n">
        <v>5136</v>
      </c>
      <c r="X56" s="11" t="s">
        <v>340</v>
      </c>
      <c r="Y56" s="11" t="s">
        <v>341</v>
      </c>
    </row>
    <row r="57" customFormat="false" ht="46.25" hidden="false" customHeight="false" outlineLevel="0" collapsed="false">
      <c r="A57" s="9" t="s">
        <v>21</v>
      </c>
      <c r="B57" s="9" t="s">
        <v>13</v>
      </c>
      <c r="C57" s="9" t="s">
        <v>124</v>
      </c>
      <c r="D57" s="11" t="s">
        <v>125</v>
      </c>
      <c r="E57" s="12" t="n">
        <v>1</v>
      </c>
      <c r="F57" s="12" t="n">
        <v>3</v>
      </c>
      <c r="G57" s="12" t="n">
        <v>2</v>
      </c>
      <c r="H57" s="12" t="n">
        <v>1</v>
      </c>
      <c r="I57" s="10" t="n">
        <f aca="false">E57/5*35+F57/5*30+G57/5*20+H57/5*15</f>
        <v>36</v>
      </c>
      <c r="J57" s="12" t="n">
        <v>0</v>
      </c>
      <c r="K57" s="10" t="n">
        <f aca="false">MAX(0,I57-J57)</f>
        <v>36</v>
      </c>
      <c r="L57" s="9" t="n">
        <f aca="false">COUNTIFS($A$2:$A$64,A57,$B$2:$B$64,B57,$K$2:$K$64,"&gt;"&amp;K57)+1</f>
        <v>1</v>
      </c>
      <c r="M57" s="9" t="str">
        <f aca="false">IF(L57&lt;=CEILING(COUNTIFS($A$2:$A$64,A57,$B$2:$B$64,B57)/2,1),"Pass","Fail")</f>
        <v>Pass</v>
      </c>
      <c r="N57" s="9"/>
      <c r="O57" s="9"/>
      <c r="P57" s="9"/>
      <c r="Q57" s="9" t="s">
        <v>342</v>
      </c>
      <c r="R57" s="9" t="s">
        <v>158</v>
      </c>
      <c r="S57" s="9" t="s">
        <v>343</v>
      </c>
      <c r="T57" s="9" t="s">
        <v>338</v>
      </c>
      <c r="U57" s="13" t="s">
        <v>344</v>
      </c>
      <c r="V57" s="9" t="s">
        <v>162</v>
      </c>
      <c r="W57" s="14" t="n">
        <v>7344</v>
      </c>
      <c r="X57" s="11" t="s">
        <v>345</v>
      </c>
      <c r="Y57" s="11" t="s">
        <v>346</v>
      </c>
    </row>
    <row r="58" customFormat="false" ht="23.85" hidden="false" customHeight="false" outlineLevel="0" collapsed="false">
      <c r="A58" s="9" t="s">
        <v>21</v>
      </c>
      <c r="B58" s="9" t="s">
        <v>13</v>
      </c>
      <c r="C58" s="9" t="s">
        <v>127</v>
      </c>
      <c r="D58" s="11" t="s">
        <v>128</v>
      </c>
      <c r="E58" s="12" t="n">
        <v>1</v>
      </c>
      <c r="F58" s="12" t="n">
        <v>3</v>
      </c>
      <c r="G58" s="12" t="n">
        <v>2</v>
      </c>
      <c r="H58" s="12" t="n">
        <v>1</v>
      </c>
      <c r="I58" s="10" t="n">
        <f aca="false">E58/5*35+F58/5*30+G58/5*20+H58/5*15</f>
        <v>36</v>
      </c>
      <c r="J58" s="12" t="n">
        <v>0</v>
      </c>
      <c r="K58" s="10" t="n">
        <f aca="false">MAX(0,I58-J58)</f>
        <v>36</v>
      </c>
      <c r="L58" s="9" t="n">
        <f aca="false">COUNTIFS($A$2:$A$64,A58,$B$2:$B$64,B58,$K$2:$K$64,"&gt;"&amp;K58)+1</f>
        <v>1</v>
      </c>
      <c r="M58" s="9" t="str">
        <f aca="false">IF(L58&lt;=CEILING(COUNTIFS($A$2:$A$64,A58,$B$2:$B$64,B58)/2,1),"Pass","Fail")</f>
        <v>Pass</v>
      </c>
      <c r="N58" s="9"/>
      <c r="O58" s="9"/>
      <c r="P58" s="9"/>
      <c r="Q58" s="9" t="s">
        <v>157</v>
      </c>
      <c r="R58" s="9" t="s">
        <v>158</v>
      </c>
      <c r="S58" s="9" t="s">
        <v>159</v>
      </c>
      <c r="T58" s="9" t="s">
        <v>338</v>
      </c>
      <c r="U58" s="13" t="s">
        <v>347</v>
      </c>
      <c r="V58" s="9" t="s">
        <v>162</v>
      </c>
      <c r="W58" s="14" t="n">
        <v>12662</v>
      </c>
      <c r="X58" s="11" t="s">
        <v>348</v>
      </c>
      <c r="Y58" s="11"/>
    </row>
    <row r="59" customFormat="false" ht="46.25" hidden="false" customHeight="false" outlineLevel="0" collapsed="false">
      <c r="A59" s="9" t="s">
        <v>21</v>
      </c>
      <c r="B59" s="9" t="s">
        <v>13</v>
      </c>
      <c r="C59" s="9" t="s">
        <v>349</v>
      </c>
      <c r="D59" s="11" t="s">
        <v>350</v>
      </c>
      <c r="E59" s="12" t="n">
        <v>0</v>
      </c>
      <c r="F59" s="12" t="n">
        <v>3</v>
      </c>
      <c r="G59" s="12" t="n">
        <v>1</v>
      </c>
      <c r="H59" s="12" t="n">
        <v>1</v>
      </c>
      <c r="I59" s="10" t="n">
        <f aca="false">E59/5*35+F59/5*30+G59/5*20+H59/5*15</f>
        <v>25</v>
      </c>
      <c r="J59" s="12" t="n">
        <v>0</v>
      </c>
      <c r="K59" s="10" t="n">
        <f aca="false">MAX(0,I59-J59)</f>
        <v>25</v>
      </c>
      <c r="L59" s="9" t="n">
        <f aca="false">COUNTIFS($A$2:$A$64,A59,$B$2:$B$64,B59,$K$2:$K$64,"&gt;"&amp;K59)+1</f>
        <v>3</v>
      </c>
      <c r="M59" s="9" t="str">
        <f aca="false">IF(L59&lt;=CEILING(COUNTIFS($A$2:$A$64,A59,$B$2:$B$64,B59)/2,1),"Pass","Fail")</f>
        <v>Fail</v>
      </c>
      <c r="N59" s="9"/>
      <c r="O59" s="9"/>
      <c r="P59" s="9"/>
      <c r="Q59" s="9" t="s">
        <v>157</v>
      </c>
      <c r="R59" s="9" t="s">
        <v>158</v>
      </c>
      <c r="S59" s="9" t="s">
        <v>159</v>
      </c>
      <c r="T59" s="9" t="s">
        <v>338</v>
      </c>
      <c r="U59" s="13" t="s">
        <v>351</v>
      </c>
      <c r="V59" s="9" t="s">
        <v>162</v>
      </c>
      <c r="W59" s="14" t="n">
        <v>8699</v>
      </c>
      <c r="X59" s="11" t="s">
        <v>352</v>
      </c>
      <c r="Y59" s="11" t="s">
        <v>353</v>
      </c>
    </row>
    <row r="60" customFormat="false" ht="35.05" hidden="false" customHeight="false" outlineLevel="0" collapsed="false">
      <c r="A60" s="9" t="s">
        <v>21</v>
      </c>
      <c r="B60" s="9" t="s">
        <v>13</v>
      </c>
      <c r="C60" s="9" t="s">
        <v>354</v>
      </c>
      <c r="D60" s="11" t="s">
        <v>355</v>
      </c>
      <c r="E60" s="12" t="n">
        <v>0</v>
      </c>
      <c r="F60" s="12" t="n">
        <v>2</v>
      </c>
      <c r="G60" s="12" t="n">
        <v>2</v>
      </c>
      <c r="H60" s="12" t="n">
        <v>1</v>
      </c>
      <c r="I60" s="10" t="n">
        <f aca="false">E60/5*35+F60/5*30+G60/5*20+H60/5*15</f>
        <v>23</v>
      </c>
      <c r="J60" s="12" t="n">
        <v>0</v>
      </c>
      <c r="K60" s="10" t="n">
        <f aca="false">MAX(0,I60-J60)</f>
        <v>23</v>
      </c>
      <c r="L60" s="9" t="n">
        <f aca="false">COUNTIFS($A$2:$A$64,A60,$B$2:$B$64,B60,$K$2:$K$64,"&gt;"&amp;K60)+1</f>
        <v>4</v>
      </c>
      <c r="M60" s="9" t="str">
        <f aca="false">IF(L60&lt;=CEILING(COUNTIFS($A$2:$A$64,A60,$B$2:$B$64,B60)/2,1),"Pass","Fail")</f>
        <v>Fail</v>
      </c>
      <c r="N60" s="9"/>
      <c r="O60" s="9"/>
      <c r="P60" s="9"/>
      <c r="Q60" s="9" t="s">
        <v>157</v>
      </c>
      <c r="R60" s="9" t="s">
        <v>158</v>
      </c>
      <c r="S60" s="9" t="s">
        <v>159</v>
      </c>
      <c r="T60" s="9" t="s">
        <v>338</v>
      </c>
      <c r="U60" s="13" t="s">
        <v>356</v>
      </c>
      <c r="V60" s="9" t="s">
        <v>162</v>
      </c>
      <c r="W60" s="14" t="n">
        <v>39506</v>
      </c>
      <c r="X60" s="11" t="s">
        <v>357</v>
      </c>
      <c r="Y60" s="11"/>
    </row>
    <row r="61" customFormat="false" ht="68.65" hidden="false" customHeight="false" outlineLevel="0" collapsed="false">
      <c r="A61" s="9" t="s">
        <v>21</v>
      </c>
      <c r="B61" s="9" t="s">
        <v>22</v>
      </c>
      <c r="C61" s="9" t="s">
        <v>130</v>
      </c>
      <c r="D61" s="11" t="s">
        <v>131</v>
      </c>
      <c r="E61" s="12" t="n">
        <v>2</v>
      </c>
      <c r="F61" s="12" t="n">
        <v>2</v>
      </c>
      <c r="G61" s="12" t="n">
        <v>2</v>
      </c>
      <c r="H61" s="12" t="n">
        <v>0</v>
      </c>
      <c r="I61" s="10" t="n">
        <f aca="false">E61/5*35+F61/5*30+G61/5*20+H61/5*15</f>
        <v>34</v>
      </c>
      <c r="J61" s="12" t="n">
        <v>0</v>
      </c>
      <c r="K61" s="10" t="n">
        <f aca="false">MAX(0,I61-J61)</f>
        <v>34</v>
      </c>
      <c r="L61" s="9" t="n">
        <f aca="false">COUNTIFS($A$2:$A$64,A61,$B$2:$B$64,B61,$K$2:$K$64,"&gt;"&amp;K61)+1</f>
        <v>1</v>
      </c>
      <c r="M61" s="9" t="str">
        <f aca="false">IF(L61&lt;=CEILING(COUNTIFS($A$2:$A$64,A61,$B$2:$B$64,B61)/2,1),"Pass","Fail")</f>
        <v>Pass</v>
      </c>
      <c r="N61" s="9"/>
      <c r="O61" s="9"/>
      <c r="P61" s="9" t="s">
        <v>174</v>
      </c>
      <c r="Q61" s="9" t="s">
        <v>157</v>
      </c>
      <c r="R61" s="9" t="s">
        <v>158</v>
      </c>
      <c r="S61" s="9" t="s">
        <v>159</v>
      </c>
      <c r="T61" s="9" t="s">
        <v>338</v>
      </c>
      <c r="U61" s="13" t="s">
        <v>358</v>
      </c>
      <c r="V61" s="9" t="s">
        <v>162</v>
      </c>
      <c r="W61" s="14" t="n">
        <v>8649</v>
      </c>
      <c r="X61" s="11" t="s">
        <v>359</v>
      </c>
      <c r="Y61" s="11" t="s">
        <v>360</v>
      </c>
    </row>
    <row r="62" customFormat="false" ht="46.25" hidden="false" customHeight="false" outlineLevel="0" collapsed="false">
      <c r="A62" s="9" t="s">
        <v>21</v>
      </c>
      <c r="B62" s="9" t="s">
        <v>22</v>
      </c>
      <c r="C62" s="9" t="s">
        <v>133</v>
      </c>
      <c r="D62" s="11" t="s">
        <v>134</v>
      </c>
      <c r="E62" s="12" t="n">
        <v>0</v>
      </c>
      <c r="F62" s="12" t="n">
        <v>2</v>
      </c>
      <c r="G62" s="12" t="n">
        <v>2</v>
      </c>
      <c r="H62" s="12" t="n">
        <v>0</v>
      </c>
      <c r="I62" s="10" t="n">
        <f aca="false">E62/5*35+F62/5*30+G62/5*20+H62/5*15</f>
        <v>20</v>
      </c>
      <c r="J62" s="12" t="n">
        <v>0</v>
      </c>
      <c r="K62" s="10" t="n">
        <f aca="false">MAX(0,I62-J62)</f>
        <v>20</v>
      </c>
      <c r="L62" s="9" t="n">
        <f aca="false">COUNTIFS($A$2:$A$64,A62,$B$2:$B$64,B62,$K$2:$K$64,"&gt;"&amp;K62)+1</f>
        <v>2</v>
      </c>
      <c r="M62" s="9" t="str">
        <f aca="false">IF(L62&lt;=CEILING(COUNTIFS($A$2:$A$64,A62,$B$2:$B$64,B62)/2,1),"Pass","Fail")</f>
        <v>Pass</v>
      </c>
      <c r="N62" s="9"/>
      <c r="O62" s="9"/>
      <c r="P62" s="9"/>
      <c r="Q62" s="9" t="s">
        <v>157</v>
      </c>
      <c r="R62" s="9" t="s">
        <v>158</v>
      </c>
      <c r="S62" s="9" t="s">
        <v>159</v>
      </c>
      <c r="T62" s="9" t="s">
        <v>160</v>
      </c>
      <c r="U62" s="13" t="s">
        <v>361</v>
      </c>
      <c r="V62" s="9" t="s">
        <v>162</v>
      </c>
      <c r="W62" s="14" t="n">
        <v>12499</v>
      </c>
      <c r="X62" s="11" t="s">
        <v>362</v>
      </c>
      <c r="Y62" s="11" t="s">
        <v>363</v>
      </c>
    </row>
    <row r="63" customFormat="false" ht="68.65" hidden="false" customHeight="false" outlineLevel="0" collapsed="false">
      <c r="A63" s="9" t="s">
        <v>21</v>
      </c>
      <c r="B63" s="9" t="s">
        <v>22</v>
      </c>
      <c r="C63" s="9" t="s">
        <v>364</v>
      </c>
      <c r="D63" s="11" t="s">
        <v>365</v>
      </c>
      <c r="E63" s="12" t="n">
        <v>0</v>
      </c>
      <c r="F63" s="12" t="n">
        <v>2</v>
      </c>
      <c r="G63" s="12" t="n">
        <v>1</v>
      </c>
      <c r="H63" s="12" t="n">
        <v>0</v>
      </c>
      <c r="I63" s="10" t="n">
        <f aca="false">E63/5*35+F63/5*30+G63/5*20+H63/5*15</f>
        <v>16</v>
      </c>
      <c r="J63" s="12" t="n">
        <v>0</v>
      </c>
      <c r="K63" s="10" t="n">
        <f aca="false">MAX(0,I63-J63)</f>
        <v>16</v>
      </c>
      <c r="L63" s="9" t="n">
        <f aca="false">COUNTIFS($A$2:$A$64,A63,$B$2:$B$64,B63,$K$2:$K$64,"&gt;"&amp;K63)+1</f>
        <v>3</v>
      </c>
      <c r="M63" s="9" t="str">
        <f aca="false">IF(L63&lt;=CEILING(COUNTIFS($A$2:$A$64,A63,$B$2:$B$64,B63)/2,1),"Pass","Fail")</f>
        <v>Fail</v>
      </c>
      <c r="N63" s="9"/>
      <c r="O63" s="9"/>
      <c r="P63" s="9" t="s">
        <v>174</v>
      </c>
      <c r="Q63" s="9" t="s">
        <v>157</v>
      </c>
      <c r="R63" s="9" t="s">
        <v>158</v>
      </c>
      <c r="S63" s="9" t="s">
        <v>159</v>
      </c>
      <c r="T63" s="9" t="s">
        <v>338</v>
      </c>
      <c r="U63" s="13" t="s">
        <v>366</v>
      </c>
      <c r="V63" s="9" t="s">
        <v>162</v>
      </c>
      <c r="W63" s="14" t="n">
        <v>5086</v>
      </c>
      <c r="X63" s="11" t="s">
        <v>367</v>
      </c>
      <c r="Y63" s="11" t="s">
        <v>368</v>
      </c>
    </row>
    <row r="64" customFormat="false" ht="23.85" hidden="false" customHeight="false" outlineLevel="0" collapsed="false">
      <c r="A64" s="9" t="s">
        <v>21</v>
      </c>
      <c r="B64" s="9" t="s">
        <v>22</v>
      </c>
      <c r="C64" s="9" t="s">
        <v>369</v>
      </c>
      <c r="D64" s="11" t="s">
        <v>370</v>
      </c>
      <c r="E64" s="12" t="n">
        <v>0</v>
      </c>
      <c r="F64" s="12" t="n">
        <v>2</v>
      </c>
      <c r="G64" s="12" t="n">
        <v>1</v>
      </c>
      <c r="H64" s="12" t="n">
        <v>0</v>
      </c>
      <c r="I64" s="10" t="n">
        <f aca="false">E64/5*35+F64/5*30+G64/5*20+H64/5*15</f>
        <v>16</v>
      </c>
      <c r="J64" s="12" t="n">
        <v>0</v>
      </c>
      <c r="K64" s="10" t="n">
        <f aca="false">MAX(0,I64-J64)</f>
        <v>16</v>
      </c>
      <c r="L64" s="9" t="n">
        <f aca="false">COUNTIFS($A$2:$A$64,A64,$B$2:$B$64,B64,$K$2:$K$64,"&gt;"&amp;K64)+1</f>
        <v>3</v>
      </c>
      <c r="M64" s="9" t="str">
        <f aca="false">IF(L64&lt;=CEILING(COUNTIFS($A$2:$A$64,A64,$B$2:$B$64,B64)/2,1),"Pass","Fail")</f>
        <v>Fail</v>
      </c>
      <c r="N64" s="9"/>
      <c r="O64" s="9"/>
      <c r="P64" s="9" t="s">
        <v>371</v>
      </c>
      <c r="Q64" s="9" t="s">
        <v>372</v>
      </c>
      <c r="R64" s="9" t="s">
        <v>158</v>
      </c>
      <c r="S64" s="9" t="s">
        <v>159</v>
      </c>
      <c r="T64" s="9" t="s">
        <v>338</v>
      </c>
      <c r="U64" s="13" t="s">
        <v>373</v>
      </c>
      <c r="V64" s="9" t="s">
        <v>162</v>
      </c>
      <c r="W64" s="14" t="n">
        <v>13632</v>
      </c>
      <c r="X64" s="11" t="s">
        <v>374</v>
      </c>
      <c r="Y64" s="11"/>
    </row>
    <row r="66" customFormat="false" ht="15" hidden="false" customHeight="false" outlineLevel="0" collapsed="false">
      <c r="A66" s="8" t="s">
        <v>375</v>
      </c>
    </row>
    <row r="67" customFormat="false" ht="15" hidden="false" customHeight="false" outlineLevel="0" collapsed="false">
      <c r="A67" s="8" t="s">
        <v>376</v>
      </c>
    </row>
    <row r="68" customFormat="false" ht="15" hidden="false" customHeight="false" outlineLevel="0" collapsed="false">
      <c r="A68" s="8" t="s">
        <v>377</v>
      </c>
    </row>
    <row r="69" customFormat="false" ht="15" hidden="false" customHeight="false" outlineLevel="0" collapsed="false">
      <c r="A69" s="8" t="s">
        <v>378</v>
      </c>
    </row>
  </sheetData>
  <autoFilter ref="A1:Y64"/>
  <conditionalFormatting sqref="M2:M64">
    <cfRule type="expression" priority="2" aboveAverage="0" equalAverage="0" bottom="0" percent="0" rank="0" text="" dxfId="7">
      <formula>M2="Pass"</formula>
    </cfRule>
    <cfRule type="expression" priority="3" aboveAverage="0" equalAverage="0" bottom="0" percent="0" rank="0" text="" dxfId="8">
      <formula>M2="Fail"</formula>
    </cfRule>
  </conditionalFormatting>
  <hyperlinks>
    <hyperlink ref="U2" r:id="rId1" display="https://danskebank.com/-/media/danske-bank-com/file-cloud/2026/2/annual-report-2025.pdf?rev=16af459cfa094b8ab365a911a324f7f2"/>
    <hyperlink ref="U3" r:id="rId2" display="https://attachment.news.eu.nasdaq.com/a636006377807c5474acd3b1ab00500e5"/>
    <hyperlink ref="U4" r:id="rId3" display="https://attachment.news.eu.nasdaq.com/a11687649947912d72fafbdc8f0845e19"/>
    <hyperlink ref="U5" r:id="rId4" display="https://attachment.news.eu.nasdaq.com/a610db5d4df88710ac547817939aacd8f"/>
    <hyperlink ref="U6" r:id="rId5" display="https://assets-we.cas.dgs.com/-/media/demant/shared/new-library-2022/financial-reports/annual-report-english/demant-annual-report-2025.pdf?la=en&amp;rev=AE32&amp;hash=F68551D4B2CB09858AD389A748D55FF6"/>
    <hyperlink ref="U7" r:id="rId6" display="https://www.lundbeck.com/content/dam/lundbeck-com/masters/global-site/annual-reporting/2025/Lundbeck_Annual_Report_2025.pdf"/>
    <hyperlink ref="U8" r:id="rId7" display="https://www.bavarian-nordic.com/media/380028/bn_annual_report_2025.pdf"/>
    <hyperlink ref="U9" r:id="rId8" display="https://www.zealandpharma.com/media/2oeew4jl/zealand-pharma-annual-report-2025.pdf"/>
    <hyperlink ref="U10" r:id="rId9" display="https://attachment.news.eu.nasdaq.com/a772ca2d52624dd57c81a282b8e1fb8aa"/>
    <hyperlink ref="U11" r:id="rId10" display="https://www.sec.gov/Archives/edgar/data/1434265/000143426526000014/gmab-20251231_d2.htm"/>
    <hyperlink ref="U12" r:id="rId11" display="https://www.vestas.com/content/dam/vestas-com/global/en/investor/reports-and-presentations/financial/2025/fy-2025/Vestas%20Annual%20Report%202025.pdf.coredownload.inline.pdf"/>
    <hyperlink ref="U13" r:id="rId12" location="esef" display="https://attachment.news.eu.nasdaq.com/ac6824c31a47a615477d702aedbbdb9ad#esef"/>
    <hyperlink ref="U14" r:id="rId13" display="https://attachment.news.eu.nasdaq.com/aa5bc3ccc5e259aa01dbe8bff4f0995b1"/>
    <hyperlink ref="U15" r:id="rId14" display="https://attachment.news.eu.nasdaq.com/a35279cd1e1c3779db793f83af61e92e8"/>
    <hyperlink ref="U16" r:id="rId15" display="https://www.straumann.com/content/dam/media-center/group/en/documents/annual-report/2025/Straumann_AR25.pdf"/>
    <hyperlink ref="U17" r:id="rId16" display="https://www.sonova.com/wp-content/uploads/2026/05/01_Sonova_AR_25-26_Full_Report_en.pdf"/>
    <hyperlink ref="U18" r:id="rId17" display="https://www.galderma.com/sites/default/files/2026-03/galderma_ar_2025_consolidated-doc_8b_260304_-_full.pdf"/>
    <hyperlink ref="U19" r:id="rId18" display="https://sandoz-com.cms.sandoz.com/sites/default/files/Media%20Documents/Sandoz%20Integrated%20Annual%20Report%202025.pdf"/>
    <hyperlink ref="U20" r:id="rId19" display=") https://links.sgx.com/1.0.0/corporate-announcements/LJE7WPRJD5EBVAED/881490_Lonza%20Annual%20Report%202025.pdf"/>
    <hyperlink ref="U21" r:id="rId20" display="https://www.sec.gov/Archives/edgar/data/1167379/000116737926000014/alc-20251231.htm"/>
    <hyperlink ref="U22" r:id="rId21" display="https://group.schindler.com/content/dam/website/group/docs/investors/2025/2025-schindler-fy-group-review-en.pdf/_jcr_content/renditions/original./2025-schindler-fy-group-review-en.pdf"/>
    <hyperlink ref="U23" r:id="rId22" display="https://accelleron.com/content/dam/accelleronind/documents/investors/accelleron-annual-report-2025.pdf"/>
    <hyperlink ref="U24" r:id="rId23" display="https://report.belimo.com/ar25/app/uploads/Annual-Report-2025.pdf"/>
    <hyperlink ref="U25" r:id="rId24" display="https://reports.geberit.com/annual-report/2025/_assets/downloads/geberit-ar25-en-entire.pdf"/>
    <hyperlink ref="U26" r:id="rId25" display="https://www.givaudan.com/file/1366761/download"/>
    <hyperlink ref="U27" r:id="rId26" display="https://annualreport.dsm-firmenich.com/2025/_assets/downloads/entire-dsmfirmenich-iar25.pdf"/>
    <hyperlink ref="U28" r:id="rId27" display="https://www.sika.com/dam/dms/corporate/media/glo-ar-25-annual-report.pdf"/>
    <hyperlink ref="U29" r:id="rId28" display="https://doc.twse.com.tw/pdf/2025_2881_20260612FE4_20261024_002816.pdf"/>
    <hyperlink ref="U30" r:id="rId29" display="https://doc.twse.com.tw/pdf/2025_2887_20260612FE4_20261024_001741.pdf"/>
    <hyperlink ref="U31" r:id="rId30" display="https://doc.twse.com.tw/pdf/2025_2883_20260612FE4_20261024_002419.pdf"/>
    <hyperlink ref="U32" r:id="rId31" display="https://www.esunbank.com/en/-/media/ESUNFHC/Files/Investor-Relations/About-ESUN/Annual-Reports/Annual-Reports-FHC/esunfhc_annual_2025"/>
    <hyperlink ref="U33" r:id="rId32" display="https://doc.twse.com.tw/pdf/2025_2890_20260526FE4_20261024_014510.pdf"/>
    <hyperlink ref="U34" r:id="rId33" display="https://www.yuanta.com/Files/970ac88b-be51-4dbd-8070-c3c680efcebe/YFH2025_E.pdf"/>
    <hyperlink ref="U35" r:id="rId34" display="https://www.asus.com/EVENT/Investor/Content/attachment_en/2025_Annual_Report_en.pdf"/>
    <hyperlink ref="U36" r:id="rId35" display="https://www.mediatek.com/hubfs/728015/MediaTek%20Assets/Pdfs/Annual%20Reports/2025-English-Annual-Report.pdf"/>
    <hyperlink ref="U37" r:id="rId36" display="https://doc.twse.com.tw/pdf/2025_2395_20260529FE4_20261024_015050.pdf"/>
    <hyperlink ref="U38" r:id="rId37" display="https://doc.twse.com.tw/pdf/2025_3481_20260527FE4_20261024_015318.pdf"/>
    <hyperlink ref="U39" r:id="rId38" display="https://www.novatek.com.tw/upload/website/_2025 Annual Report_e_26050614_856.pdf"/>
    <hyperlink ref="U40" r:id="rId39" display="https://www.largan.com.tw/en/tool-download/page_en_size/file/204/2025%20Company%20Annual%20Report"/>
    <hyperlink ref="U41" r:id="rId40" display="https://doc.twse.com.tw/pdf/2025_2408_20260521FE4_20261024_003738.pdf"/>
    <hyperlink ref="U42" r:id="rId41" display="https://www.guc-asic.com/upload/2026_04_16/8_202604161551145dnuwxrHk5.pdf"/>
    <hyperlink ref="U43" r:id="rId42" display="https://cms.emtek.co.id/media/annual_report_attachment_en/gcib/AR-EMTEK-2025.pdf"/>
    <hyperlink ref="U44" r:id="rId43" display="https://www.sec.gov/Archives/edgar/data/1001807/000110465926062051/tmb-20251231x20f.htm"/>
    <hyperlink ref="U45" r:id="rId44" display="https://www.indoritel.co.id/storage/files/pdf/AR%20Indoritel%202025_%20ok%20_1777368195.pdf"/>
    <hyperlink ref="U46" r:id="rId45" display="https://www.astra-agro.co.id/wp-content/uploads/2026/03/AR-2025-AALI-web.pdf"/>
    <hyperlink ref="U47" r:id="rId46" display="https://www.sampoerna.com/content/dam/pmicom/affiliates/sampoerna/docs/annua-report-and-sustainability-report-2025.pdf"/>
    <hyperlink ref="U48" r:id="rId47" display="https://www.indofood.com/uploads/annual/AR_ISM_2025_web.pdf"/>
    <hyperlink ref="U49" r:id="rId48" display="https://www.gudanggaramtbk.com/media/uploads/files/GGRM_AR_2025_FINAL.pdf"/>
    <hyperlink ref="U50" r:id="rId49" display="https://www.bankmandiri.co.id/documents/38265486/0/%5BFINAL+-+2904%5D+ANNUAL+REPORT+BMRI+2025+%281%29.pdf/da87ca86-a02b-f394-b2e4-1ff3f268c0ee?t=1777514285182"/>
    <hyperlink ref="U51" r:id="rId50" display="https://www.bni.co.id/Portals/1/BNI/Perusahaan/HubunganInvestor/Docs/BNI-AR-2025-IND.pdf"/>
    <hyperlink ref="U52" r:id="rId51" display="https://www.uobgroup.com/investor-relations/assets/pdfs/investor/annual/uob-annual-report-2025.pdf"/>
    <hyperlink ref="U53" r:id="rId52" display="https://www.ocbc.com/iwov-resources/sg/ocbc/gbc/pdf/investors/annual-reports/2025/2025-annual-report-en.pdf"/>
    <hyperlink ref="U54" r:id="rId53" display="https://www.dbs.com/annualreports/2025/i/pdf/dbs-ar-2025.pdf"/>
    <hyperlink ref="U55" r:id="rId54" display="https://links.sgx.com/FileOpen/2025_SGX_Annual_Report.ashx?App=Announcement&amp;FileID=859054"/>
    <hyperlink ref="U56" r:id="rId55" display="https://links.sgx.com/1.0.0/corporate-announcements/44JTWA0DH7EZYK4P/881221_PCRDL_Annual%20Report%202025.pdf"/>
    <hyperlink ref="U57" r:id="rId56" display="https://links.sgx.com/1.0.0/corporate-announcements/KDUEMRFCNK9XYXB6/895114_SATS_Annual_Report_FY2026.pdf"/>
    <hyperlink ref="U58" r:id="rId57" display="https://links.sgx.com/1.0.0/corporate-announcements/CBBHM38X24NO0DHG/894198_Annual%20Report%20FY2025-26.pdf"/>
    <hyperlink ref="U59" r:id="rId58" display="https://links.sgx.com/1.0.0/corporate-announcements/CMLEN559K1LSH1QR/880492_1.%20Keppel%20Ltd._Annual%20Report%202025.pdf"/>
    <hyperlink ref="U60" r:id="rId59" display="https://links.sgx.com/1.0.0/corporate-announcements/NJVPQZT3VFNIX7HM/882457_HPHT%20AR2025%20SGX.pdf"/>
    <hyperlink ref="U61" r:id="rId60" display="https://links.sgx.com/1.0.0/corporate-announcements/PY3VCKEQ8KS6R716/878885_2_CICT%20AR%202025_Final.pdf"/>
    <hyperlink ref="U62" r:id="rId61" display="https://www.keppelreit.com/file/investor-relations/publications/annual-reports/keppel-reit-ar25.pdf"/>
    <hyperlink ref="U63" r:id="rId62" display="https://links.sgx.com/1.0.0/corporate-announcements/VLMUR6L61OAEVKHB/881419_CLAR%20-%20AR%202025.pdf"/>
    <hyperlink ref="U64" r:id="rId63" display="https://links.sgx.com/1.0.0/corporate-announcements/531D1L1A4ZGIBBAO/870400_FLCT%20-%20Annual%20Report%202025.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11"/>
    <col collapsed="false" customWidth="true" hidden="false" outlineLevel="0" max="4" min="4" style="0" width="28"/>
    <col collapsed="false" customWidth="true" hidden="false" outlineLevel="0" max="5" min="5" style="0" width="13"/>
    <col collapsed="false" customWidth="true" hidden="false" outlineLevel="0" max="6" min="6" style="0" width="26"/>
    <col collapsed="false" customWidth="true" hidden="false" outlineLevel="0" max="7" min="7" style="0" width="40"/>
    <col collapsed="false" customWidth="true" hidden="false" outlineLevel="0" max="8" min="8" style="0" width="70"/>
    <col collapsed="false" customWidth="true" hidden="false" outlineLevel="0" max="9" min="9" style="0" width="50"/>
    <col collapsed="false" customWidth="true" hidden="false" outlineLevel="0" max="10" min="10" style="0" width="26"/>
    <col collapsed="false" customWidth="true" hidden="false" outlineLevel="0" max="11" min="11" style="0" width="14"/>
  </cols>
  <sheetData>
    <row r="1" customFormat="false" ht="30" hidden="false" customHeight="true" outlineLevel="0" collapsed="false">
      <c r="A1" s="3" t="s">
        <v>2</v>
      </c>
      <c r="B1" s="3" t="s">
        <v>3</v>
      </c>
      <c r="C1" s="3" t="s">
        <v>27</v>
      </c>
      <c r="D1" s="3" t="s">
        <v>28</v>
      </c>
      <c r="E1" s="3" t="s">
        <v>379</v>
      </c>
      <c r="F1" s="3" t="s">
        <v>380</v>
      </c>
      <c r="G1" s="3" t="s">
        <v>381</v>
      </c>
      <c r="H1" s="3" t="s">
        <v>382</v>
      </c>
      <c r="I1" s="3" t="s">
        <v>383</v>
      </c>
      <c r="J1" s="3" t="s">
        <v>384</v>
      </c>
      <c r="K1" s="3" t="s">
        <v>385</v>
      </c>
    </row>
    <row r="2" customFormat="false" ht="57.45" hidden="false" customHeight="false" outlineLevel="0" collapsed="false">
      <c r="A2" s="9" t="s">
        <v>10</v>
      </c>
      <c r="B2" s="9" t="s">
        <v>11</v>
      </c>
      <c r="C2" s="9" t="s">
        <v>34</v>
      </c>
      <c r="D2" s="9" t="s">
        <v>35</v>
      </c>
      <c r="E2" s="9" t="s">
        <v>386</v>
      </c>
      <c r="F2" s="11" t="s">
        <v>387</v>
      </c>
      <c r="G2" s="11" t="s">
        <v>388</v>
      </c>
      <c r="H2" s="11" t="s">
        <v>389</v>
      </c>
      <c r="I2" s="11"/>
      <c r="J2" s="11" t="s">
        <v>390</v>
      </c>
      <c r="K2" s="9" t="s">
        <v>391</v>
      </c>
    </row>
    <row r="3" customFormat="false" ht="35.05" hidden="false" customHeight="false" outlineLevel="0" collapsed="false">
      <c r="A3" s="9" t="s">
        <v>10</v>
      </c>
      <c r="B3" s="9" t="s">
        <v>11</v>
      </c>
      <c r="C3" s="9" t="s">
        <v>34</v>
      </c>
      <c r="D3" s="9" t="s">
        <v>35</v>
      </c>
      <c r="E3" s="9" t="s">
        <v>386</v>
      </c>
      <c r="F3" s="11" t="s">
        <v>392</v>
      </c>
      <c r="G3" s="11" t="s">
        <v>393</v>
      </c>
      <c r="H3" s="11" t="s">
        <v>394</v>
      </c>
      <c r="I3" s="11"/>
      <c r="J3" s="11" t="s">
        <v>395</v>
      </c>
      <c r="K3" s="9" t="s">
        <v>391</v>
      </c>
    </row>
    <row r="4" customFormat="false" ht="35.05" hidden="false" customHeight="false" outlineLevel="0" collapsed="false">
      <c r="A4" s="9" t="s">
        <v>10</v>
      </c>
      <c r="B4" s="9" t="s">
        <v>11</v>
      </c>
      <c r="C4" s="9" t="s">
        <v>34</v>
      </c>
      <c r="D4" s="9" t="s">
        <v>35</v>
      </c>
      <c r="E4" s="9" t="s">
        <v>386</v>
      </c>
      <c r="F4" s="11" t="s">
        <v>396</v>
      </c>
      <c r="G4" s="11" t="s">
        <v>397</v>
      </c>
      <c r="H4" s="11" t="s">
        <v>398</v>
      </c>
      <c r="I4" s="11"/>
      <c r="J4" s="11" t="s">
        <v>399</v>
      </c>
      <c r="K4" s="9" t="s">
        <v>391</v>
      </c>
    </row>
    <row r="5" customFormat="false" ht="46.25" hidden="false" customHeight="false" outlineLevel="0" collapsed="false">
      <c r="A5" s="9" t="s">
        <v>10</v>
      </c>
      <c r="B5" s="9" t="s">
        <v>11</v>
      </c>
      <c r="C5" s="9" t="s">
        <v>34</v>
      </c>
      <c r="D5" s="9" t="s">
        <v>35</v>
      </c>
      <c r="E5" s="9" t="s">
        <v>386</v>
      </c>
      <c r="F5" s="11" t="s">
        <v>400</v>
      </c>
      <c r="G5" s="11" t="s">
        <v>401</v>
      </c>
      <c r="H5" s="11" t="s">
        <v>402</v>
      </c>
      <c r="I5" s="11"/>
      <c r="J5" s="11" t="s">
        <v>403</v>
      </c>
      <c r="K5" s="9" t="s">
        <v>391</v>
      </c>
    </row>
    <row r="6" customFormat="false" ht="46.25" hidden="false" customHeight="false" outlineLevel="0" collapsed="false">
      <c r="A6" s="9" t="s">
        <v>10</v>
      </c>
      <c r="B6" s="9" t="s">
        <v>11</v>
      </c>
      <c r="C6" s="9" t="s">
        <v>34</v>
      </c>
      <c r="D6" s="9" t="s">
        <v>35</v>
      </c>
      <c r="E6" s="9" t="s">
        <v>386</v>
      </c>
      <c r="F6" s="11" t="s">
        <v>400</v>
      </c>
      <c r="G6" s="11" t="s">
        <v>404</v>
      </c>
      <c r="H6" s="11" t="s">
        <v>405</v>
      </c>
      <c r="I6" s="11"/>
      <c r="J6" s="11" t="s">
        <v>406</v>
      </c>
      <c r="K6" s="9" t="s">
        <v>391</v>
      </c>
    </row>
    <row r="7" customFormat="false" ht="35.05" hidden="false" customHeight="false" outlineLevel="0" collapsed="false">
      <c r="A7" s="9" t="s">
        <v>10</v>
      </c>
      <c r="B7" s="9" t="s">
        <v>11</v>
      </c>
      <c r="C7" s="9" t="s">
        <v>34</v>
      </c>
      <c r="D7" s="9" t="s">
        <v>35</v>
      </c>
      <c r="E7" s="9" t="s">
        <v>386</v>
      </c>
      <c r="F7" s="11" t="s">
        <v>387</v>
      </c>
      <c r="G7" s="11" t="s">
        <v>407</v>
      </c>
      <c r="H7" s="11" t="s">
        <v>408</v>
      </c>
      <c r="I7" s="11"/>
      <c r="J7" s="11" t="s">
        <v>409</v>
      </c>
      <c r="K7" s="9" t="s">
        <v>391</v>
      </c>
    </row>
    <row r="8" customFormat="false" ht="35.05" hidden="false" customHeight="false" outlineLevel="0" collapsed="false">
      <c r="A8" s="9" t="s">
        <v>10</v>
      </c>
      <c r="B8" s="9" t="s">
        <v>11</v>
      </c>
      <c r="C8" s="9" t="s">
        <v>34</v>
      </c>
      <c r="D8" s="9" t="s">
        <v>35</v>
      </c>
      <c r="E8" s="9" t="s">
        <v>386</v>
      </c>
      <c r="F8" s="11" t="s">
        <v>410</v>
      </c>
      <c r="G8" s="11" t="s">
        <v>411</v>
      </c>
      <c r="H8" s="11" t="s">
        <v>412</v>
      </c>
      <c r="I8" s="11"/>
      <c r="J8" s="11" t="s">
        <v>413</v>
      </c>
      <c r="K8" s="9" t="s">
        <v>391</v>
      </c>
    </row>
    <row r="9" customFormat="false" ht="46.25" hidden="false" customHeight="false" outlineLevel="0" collapsed="false">
      <c r="A9" s="9" t="s">
        <v>10</v>
      </c>
      <c r="B9" s="9" t="s">
        <v>11</v>
      </c>
      <c r="C9" s="9" t="s">
        <v>34</v>
      </c>
      <c r="D9" s="9" t="s">
        <v>35</v>
      </c>
      <c r="E9" s="9" t="s">
        <v>386</v>
      </c>
      <c r="F9" s="11" t="s">
        <v>410</v>
      </c>
      <c r="G9" s="11" t="s">
        <v>414</v>
      </c>
      <c r="H9" s="11" t="s">
        <v>415</v>
      </c>
      <c r="I9" s="11"/>
      <c r="J9" s="11" t="s">
        <v>413</v>
      </c>
      <c r="K9" s="9" t="s">
        <v>391</v>
      </c>
    </row>
    <row r="10" customFormat="false" ht="35.05" hidden="false" customHeight="false" outlineLevel="0" collapsed="false">
      <c r="A10" s="9" t="s">
        <v>10</v>
      </c>
      <c r="B10" s="9" t="s">
        <v>11</v>
      </c>
      <c r="C10" s="9" t="s">
        <v>34</v>
      </c>
      <c r="D10" s="9" t="s">
        <v>35</v>
      </c>
      <c r="E10" s="9" t="s">
        <v>386</v>
      </c>
      <c r="F10" s="11" t="s">
        <v>410</v>
      </c>
      <c r="G10" s="11" t="s">
        <v>416</v>
      </c>
      <c r="H10" s="11" t="s">
        <v>417</v>
      </c>
      <c r="I10" s="11"/>
      <c r="J10" s="11" t="s">
        <v>418</v>
      </c>
      <c r="K10" s="9" t="s">
        <v>391</v>
      </c>
    </row>
    <row r="11" customFormat="false" ht="23.85" hidden="false" customHeight="false" outlineLevel="0" collapsed="false">
      <c r="A11" s="9" t="s">
        <v>10</v>
      </c>
      <c r="B11" s="9" t="s">
        <v>11</v>
      </c>
      <c r="C11" s="9" t="s">
        <v>34</v>
      </c>
      <c r="D11" s="9" t="s">
        <v>35</v>
      </c>
      <c r="E11" s="9" t="s">
        <v>386</v>
      </c>
      <c r="F11" s="11" t="s">
        <v>419</v>
      </c>
      <c r="G11" s="11" t="s">
        <v>420</v>
      </c>
      <c r="H11" s="11" t="s">
        <v>421</v>
      </c>
      <c r="I11" s="11"/>
      <c r="J11" s="11" t="s">
        <v>422</v>
      </c>
      <c r="K11" s="9" t="s">
        <v>391</v>
      </c>
    </row>
    <row r="12" customFormat="false" ht="23.85" hidden="false" customHeight="false" outlineLevel="0" collapsed="false">
      <c r="A12" s="9" t="s">
        <v>10</v>
      </c>
      <c r="B12" s="9" t="s">
        <v>11</v>
      </c>
      <c r="C12" s="9" t="s">
        <v>34</v>
      </c>
      <c r="D12" s="9" t="s">
        <v>35</v>
      </c>
      <c r="E12" s="9" t="s">
        <v>386</v>
      </c>
      <c r="F12" s="11" t="s">
        <v>419</v>
      </c>
      <c r="G12" s="11" t="s">
        <v>423</v>
      </c>
      <c r="H12" s="11" t="s">
        <v>424</v>
      </c>
      <c r="I12" s="11"/>
      <c r="J12" s="11" t="s">
        <v>422</v>
      </c>
      <c r="K12" s="9" t="s">
        <v>391</v>
      </c>
    </row>
    <row r="13" customFormat="false" ht="23.85" hidden="false" customHeight="false" outlineLevel="0" collapsed="false">
      <c r="A13" s="9" t="s">
        <v>10</v>
      </c>
      <c r="B13" s="9" t="s">
        <v>11</v>
      </c>
      <c r="C13" s="9" t="s">
        <v>34</v>
      </c>
      <c r="D13" s="9" t="s">
        <v>35</v>
      </c>
      <c r="E13" s="9" t="s">
        <v>386</v>
      </c>
      <c r="F13" s="11" t="s">
        <v>419</v>
      </c>
      <c r="G13" s="11" t="s">
        <v>425</v>
      </c>
      <c r="H13" s="11" t="s">
        <v>426</v>
      </c>
      <c r="I13" s="11"/>
      <c r="J13" s="11" t="s">
        <v>427</v>
      </c>
      <c r="K13" s="9" t="s">
        <v>391</v>
      </c>
    </row>
    <row r="14" customFormat="false" ht="46.25" hidden="false" customHeight="false" outlineLevel="0" collapsed="false">
      <c r="A14" s="9" t="s">
        <v>10</v>
      </c>
      <c r="B14" s="9" t="s">
        <v>11</v>
      </c>
      <c r="C14" s="9" t="s">
        <v>34</v>
      </c>
      <c r="D14" s="9" t="s">
        <v>35</v>
      </c>
      <c r="E14" s="9" t="s">
        <v>386</v>
      </c>
      <c r="F14" s="11" t="s">
        <v>392</v>
      </c>
      <c r="G14" s="11" t="s">
        <v>428</v>
      </c>
      <c r="H14" s="11" t="s">
        <v>429</v>
      </c>
      <c r="I14" s="11"/>
      <c r="J14" s="11" t="s">
        <v>430</v>
      </c>
      <c r="K14" s="9" t="s">
        <v>391</v>
      </c>
    </row>
    <row r="15" customFormat="false" ht="46.25" hidden="false" customHeight="false" outlineLevel="0" collapsed="false">
      <c r="A15" s="9" t="s">
        <v>10</v>
      </c>
      <c r="B15" s="9" t="s">
        <v>11</v>
      </c>
      <c r="C15" s="9" t="s">
        <v>31</v>
      </c>
      <c r="D15" s="9" t="s">
        <v>32</v>
      </c>
      <c r="E15" s="9" t="s">
        <v>386</v>
      </c>
      <c r="F15" s="11" t="s">
        <v>400</v>
      </c>
      <c r="G15" s="11" t="s">
        <v>431</v>
      </c>
      <c r="H15" s="11" t="s">
        <v>432</v>
      </c>
      <c r="I15" s="11"/>
      <c r="J15" s="11" t="s">
        <v>433</v>
      </c>
      <c r="K15" s="9" t="s">
        <v>391</v>
      </c>
    </row>
    <row r="16" customFormat="false" ht="46.25" hidden="false" customHeight="false" outlineLevel="0" collapsed="false">
      <c r="A16" s="9" t="s">
        <v>10</v>
      </c>
      <c r="B16" s="9" t="s">
        <v>11</v>
      </c>
      <c r="C16" s="9" t="s">
        <v>31</v>
      </c>
      <c r="D16" s="9" t="s">
        <v>32</v>
      </c>
      <c r="E16" s="9" t="s">
        <v>386</v>
      </c>
      <c r="F16" s="11" t="s">
        <v>419</v>
      </c>
      <c r="G16" s="11" t="s">
        <v>434</v>
      </c>
      <c r="H16" s="11" t="s">
        <v>435</v>
      </c>
      <c r="I16" s="11"/>
      <c r="J16" s="11" t="s">
        <v>436</v>
      </c>
      <c r="K16" s="9" t="s">
        <v>391</v>
      </c>
    </row>
    <row r="17" customFormat="false" ht="46.25" hidden="false" customHeight="false" outlineLevel="0" collapsed="false">
      <c r="A17" s="9" t="s">
        <v>10</v>
      </c>
      <c r="B17" s="9" t="s">
        <v>11</v>
      </c>
      <c r="C17" s="9" t="s">
        <v>31</v>
      </c>
      <c r="D17" s="9" t="s">
        <v>32</v>
      </c>
      <c r="E17" s="9" t="s">
        <v>386</v>
      </c>
      <c r="F17" s="11" t="s">
        <v>419</v>
      </c>
      <c r="G17" s="11" t="s">
        <v>437</v>
      </c>
      <c r="H17" s="11" t="s">
        <v>438</v>
      </c>
      <c r="I17" s="11"/>
      <c r="J17" s="11" t="s">
        <v>436</v>
      </c>
      <c r="K17" s="9" t="s">
        <v>391</v>
      </c>
    </row>
    <row r="18" customFormat="false" ht="46.25" hidden="false" customHeight="false" outlineLevel="0" collapsed="false">
      <c r="A18" s="9" t="s">
        <v>10</v>
      </c>
      <c r="B18" s="9" t="s">
        <v>11</v>
      </c>
      <c r="C18" s="9" t="s">
        <v>31</v>
      </c>
      <c r="D18" s="9" t="s">
        <v>32</v>
      </c>
      <c r="E18" s="9" t="s">
        <v>386</v>
      </c>
      <c r="F18" s="11" t="s">
        <v>419</v>
      </c>
      <c r="G18" s="11" t="s">
        <v>439</v>
      </c>
      <c r="H18" s="11" t="s">
        <v>440</v>
      </c>
      <c r="I18" s="11"/>
      <c r="J18" s="11" t="s">
        <v>436</v>
      </c>
      <c r="K18" s="9" t="s">
        <v>391</v>
      </c>
    </row>
    <row r="19" customFormat="false" ht="35.05" hidden="false" customHeight="false" outlineLevel="0" collapsed="false">
      <c r="A19" s="9" t="s">
        <v>10</v>
      </c>
      <c r="B19" s="9" t="s">
        <v>11</v>
      </c>
      <c r="C19" s="9" t="s">
        <v>31</v>
      </c>
      <c r="D19" s="9" t="s">
        <v>32</v>
      </c>
      <c r="E19" s="9" t="s">
        <v>386</v>
      </c>
      <c r="F19" s="11" t="s">
        <v>441</v>
      </c>
      <c r="G19" s="11" t="s">
        <v>442</v>
      </c>
      <c r="H19" s="11" t="s">
        <v>443</v>
      </c>
      <c r="I19" s="11"/>
      <c r="J19" s="11" t="s">
        <v>444</v>
      </c>
      <c r="K19" s="9" t="s">
        <v>391</v>
      </c>
    </row>
    <row r="20" customFormat="false" ht="35.05" hidden="false" customHeight="false" outlineLevel="0" collapsed="false">
      <c r="A20" s="9" t="s">
        <v>10</v>
      </c>
      <c r="B20" s="9" t="s">
        <v>11</v>
      </c>
      <c r="C20" s="9" t="s">
        <v>31</v>
      </c>
      <c r="D20" s="9" t="s">
        <v>32</v>
      </c>
      <c r="E20" s="9" t="s">
        <v>386</v>
      </c>
      <c r="F20" s="11" t="s">
        <v>400</v>
      </c>
      <c r="G20" s="11" t="s">
        <v>445</v>
      </c>
      <c r="H20" s="11" t="s">
        <v>446</v>
      </c>
      <c r="I20" s="11"/>
      <c r="J20" s="11" t="s">
        <v>447</v>
      </c>
      <c r="K20" s="9" t="s">
        <v>391</v>
      </c>
    </row>
    <row r="21" customFormat="false" ht="57.45" hidden="false" customHeight="false" outlineLevel="0" collapsed="false">
      <c r="A21" s="9" t="s">
        <v>10</v>
      </c>
      <c r="B21" s="9" t="s">
        <v>11</v>
      </c>
      <c r="C21" s="9" t="s">
        <v>31</v>
      </c>
      <c r="D21" s="9" t="s">
        <v>32</v>
      </c>
      <c r="E21" s="9" t="s">
        <v>386</v>
      </c>
      <c r="F21" s="11" t="s">
        <v>448</v>
      </c>
      <c r="G21" s="11" t="s">
        <v>449</v>
      </c>
      <c r="H21" s="11" t="s">
        <v>450</v>
      </c>
      <c r="I21" s="11"/>
      <c r="J21" s="11" t="s">
        <v>436</v>
      </c>
      <c r="K21" s="9" t="s">
        <v>391</v>
      </c>
    </row>
    <row r="22" customFormat="false" ht="46.25" hidden="false" customHeight="false" outlineLevel="0" collapsed="false">
      <c r="A22" s="9" t="s">
        <v>10</v>
      </c>
      <c r="B22" s="9" t="s">
        <v>11</v>
      </c>
      <c r="C22" s="9" t="s">
        <v>31</v>
      </c>
      <c r="D22" s="9" t="s">
        <v>32</v>
      </c>
      <c r="E22" s="9" t="s">
        <v>386</v>
      </c>
      <c r="F22" s="11" t="s">
        <v>387</v>
      </c>
      <c r="G22" s="11" t="s">
        <v>451</v>
      </c>
      <c r="H22" s="11" t="s">
        <v>452</v>
      </c>
      <c r="I22" s="11"/>
      <c r="J22" s="11" t="s">
        <v>436</v>
      </c>
      <c r="K22" s="9" t="s">
        <v>391</v>
      </c>
    </row>
    <row r="23" customFormat="false" ht="46.25" hidden="false" customHeight="false" outlineLevel="0" collapsed="false">
      <c r="A23" s="9" t="s">
        <v>10</v>
      </c>
      <c r="B23" s="9" t="s">
        <v>11</v>
      </c>
      <c r="C23" s="9" t="s">
        <v>31</v>
      </c>
      <c r="D23" s="9" t="s">
        <v>32</v>
      </c>
      <c r="E23" s="9" t="s">
        <v>386</v>
      </c>
      <c r="F23" s="11" t="s">
        <v>387</v>
      </c>
      <c r="G23" s="11" t="s">
        <v>453</v>
      </c>
      <c r="H23" s="11" t="s">
        <v>454</v>
      </c>
      <c r="I23" s="11"/>
      <c r="J23" s="11" t="s">
        <v>436</v>
      </c>
      <c r="K23" s="9" t="s">
        <v>391</v>
      </c>
    </row>
    <row r="24" customFormat="false" ht="46.25" hidden="false" customHeight="false" outlineLevel="0" collapsed="false">
      <c r="A24" s="9" t="s">
        <v>10</v>
      </c>
      <c r="B24" s="9" t="s">
        <v>11</v>
      </c>
      <c r="C24" s="9" t="s">
        <v>31</v>
      </c>
      <c r="D24" s="9" t="s">
        <v>32</v>
      </c>
      <c r="E24" s="9" t="s">
        <v>386</v>
      </c>
      <c r="F24" s="11" t="s">
        <v>387</v>
      </c>
      <c r="G24" s="11" t="s">
        <v>455</v>
      </c>
      <c r="H24" s="11" t="s">
        <v>456</v>
      </c>
      <c r="I24" s="11"/>
      <c r="J24" s="11" t="s">
        <v>457</v>
      </c>
      <c r="K24" s="9" t="s">
        <v>391</v>
      </c>
    </row>
    <row r="25" customFormat="false" ht="46.25" hidden="false" customHeight="false" outlineLevel="0" collapsed="false">
      <c r="A25" s="9" t="s">
        <v>10</v>
      </c>
      <c r="B25" s="9" t="s">
        <v>11</v>
      </c>
      <c r="C25" s="9" t="s">
        <v>31</v>
      </c>
      <c r="D25" s="9" t="s">
        <v>32</v>
      </c>
      <c r="E25" s="9" t="s">
        <v>386</v>
      </c>
      <c r="F25" s="11" t="s">
        <v>410</v>
      </c>
      <c r="G25" s="11" t="s">
        <v>458</v>
      </c>
      <c r="H25" s="11" t="s">
        <v>459</v>
      </c>
      <c r="I25" s="11"/>
      <c r="J25" s="11" t="s">
        <v>460</v>
      </c>
      <c r="K25" s="9" t="s">
        <v>391</v>
      </c>
    </row>
    <row r="26" customFormat="false" ht="57.45" hidden="false" customHeight="false" outlineLevel="0" collapsed="false">
      <c r="A26" s="9" t="s">
        <v>10</v>
      </c>
      <c r="B26" s="9" t="s">
        <v>11</v>
      </c>
      <c r="C26" s="9" t="s">
        <v>31</v>
      </c>
      <c r="D26" s="9" t="s">
        <v>32</v>
      </c>
      <c r="E26" s="9" t="s">
        <v>386</v>
      </c>
      <c r="F26" s="11" t="s">
        <v>392</v>
      </c>
      <c r="G26" s="11" t="s">
        <v>461</v>
      </c>
      <c r="H26" s="11" t="s">
        <v>462</v>
      </c>
      <c r="I26" s="11"/>
      <c r="J26" s="11" t="s">
        <v>457</v>
      </c>
      <c r="K26" s="9" t="s">
        <v>391</v>
      </c>
    </row>
    <row r="27" customFormat="false" ht="46.25" hidden="false" customHeight="false" outlineLevel="0" collapsed="false">
      <c r="A27" s="9" t="s">
        <v>10</v>
      </c>
      <c r="B27" s="9" t="s">
        <v>11</v>
      </c>
      <c r="C27" s="9" t="s">
        <v>31</v>
      </c>
      <c r="D27" s="9" t="s">
        <v>32</v>
      </c>
      <c r="E27" s="9" t="s">
        <v>386</v>
      </c>
      <c r="F27" s="11" t="s">
        <v>392</v>
      </c>
      <c r="G27" s="11" t="s">
        <v>463</v>
      </c>
      <c r="H27" s="11" t="s">
        <v>464</v>
      </c>
      <c r="I27" s="11"/>
      <c r="J27" s="11" t="s">
        <v>457</v>
      </c>
      <c r="K27" s="9" t="s">
        <v>391</v>
      </c>
    </row>
    <row r="28" customFormat="false" ht="79.85" hidden="false" customHeight="false" outlineLevel="0" collapsed="false">
      <c r="A28" s="9" t="s">
        <v>10</v>
      </c>
      <c r="B28" s="9" t="s">
        <v>11</v>
      </c>
      <c r="C28" s="9" t="s">
        <v>31</v>
      </c>
      <c r="D28" s="9" t="s">
        <v>32</v>
      </c>
      <c r="E28" s="9" t="s">
        <v>465</v>
      </c>
      <c r="F28" s="11" t="s">
        <v>466</v>
      </c>
      <c r="G28" s="11" t="s">
        <v>467</v>
      </c>
      <c r="H28" s="11" t="s">
        <v>468</v>
      </c>
      <c r="I28" s="11"/>
      <c r="J28" s="11" t="s">
        <v>469</v>
      </c>
      <c r="K28" s="9" t="s">
        <v>391</v>
      </c>
    </row>
    <row r="29" customFormat="false" ht="46.25" hidden="false" customHeight="false" outlineLevel="0" collapsed="false">
      <c r="A29" s="9" t="s">
        <v>10</v>
      </c>
      <c r="B29" s="9" t="s">
        <v>11</v>
      </c>
      <c r="C29" s="9" t="s">
        <v>172</v>
      </c>
      <c r="D29" s="9" t="s">
        <v>173</v>
      </c>
      <c r="E29" s="9" t="s">
        <v>386</v>
      </c>
      <c r="F29" s="11" t="s">
        <v>400</v>
      </c>
      <c r="G29" s="11" t="s">
        <v>470</v>
      </c>
      <c r="H29" s="11" t="s">
        <v>471</v>
      </c>
      <c r="I29" s="11" t="s">
        <v>472</v>
      </c>
      <c r="J29" s="11" t="s">
        <v>473</v>
      </c>
      <c r="K29" s="9" t="s">
        <v>391</v>
      </c>
    </row>
    <row r="30" customFormat="false" ht="57.45" hidden="false" customHeight="false" outlineLevel="0" collapsed="false">
      <c r="A30" s="9" t="s">
        <v>10</v>
      </c>
      <c r="B30" s="9" t="s">
        <v>11</v>
      </c>
      <c r="C30" s="9" t="s">
        <v>172</v>
      </c>
      <c r="D30" s="9" t="s">
        <v>173</v>
      </c>
      <c r="E30" s="9" t="s">
        <v>386</v>
      </c>
      <c r="F30" s="11" t="s">
        <v>387</v>
      </c>
      <c r="G30" s="11" t="s">
        <v>474</v>
      </c>
      <c r="H30" s="11" t="s">
        <v>475</v>
      </c>
      <c r="I30" s="11" t="s">
        <v>476</v>
      </c>
      <c r="J30" s="11" t="s">
        <v>477</v>
      </c>
      <c r="K30" s="9" t="s">
        <v>391</v>
      </c>
    </row>
    <row r="31" customFormat="false" ht="46.25" hidden="false" customHeight="false" outlineLevel="0" collapsed="false">
      <c r="A31" s="9" t="s">
        <v>10</v>
      </c>
      <c r="B31" s="9" t="s">
        <v>11</v>
      </c>
      <c r="C31" s="9" t="s">
        <v>172</v>
      </c>
      <c r="D31" s="9" t="s">
        <v>173</v>
      </c>
      <c r="E31" s="9" t="s">
        <v>386</v>
      </c>
      <c r="F31" s="11" t="s">
        <v>410</v>
      </c>
      <c r="G31" s="11" t="s">
        <v>478</v>
      </c>
      <c r="H31" s="11" t="s">
        <v>479</v>
      </c>
      <c r="I31" s="11" t="s">
        <v>480</v>
      </c>
      <c r="J31" s="11" t="s">
        <v>481</v>
      </c>
      <c r="K31" s="9" t="s">
        <v>391</v>
      </c>
    </row>
    <row r="32" customFormat="false" ht="46.25" hidden="false" customHeight="false" outlineLevel="0" collapsed="false">
      <c r="A32" s="9" t="s">
        <v>10</v>
      </c>
      <c r="B32" s="9" t="s">
        <v>11</v>
      </c>
      <c r="C32" s="9" t="s">
        <v>172</v>
      </c>
      <c r="D32" s="9" t="s">
        <v>173</v>
      </c>
      <c r="E32" s="9" t="s">
        <v>386</v>
      </c>
      <c r="F32" s="11" t="s">
        <v>392</v>
      </c>
      <c r="G32" s="11" t="s">
        <v>482</v>
      </c>
      <c r="H32" s="11" t="s">
        <v>483</v>
      </c>
      <c r="I32" s="11" t="s">
        <v>484</v>
      </c>
      <c r="J32" s="11" t="s">
        <v>485</v>
      </c>
      <c r="K32" s="9" t="s">
        <v>391</v>
      </c>
    </row>
    <row r="33" customFormat="false" ht="46.25" hidden="false" customHeight="false" outlineLevel="0" collapsed="false">
      <c r="A33" s="9" t="s">
        <v>10</v>
      </c>
      <c r="B33" s="9" t="s">
        <v>11</v>
      </c>
      <c r="C33" s="9" t="s">
        <v>172</v>
      </c>
      <c r="D33" s="9" t="s">
        <v>173</v>
      </c>
      <c r="E33" s="9" t="s">
        <v>386</v>
      </c>
      <c r="F33" s="11" t="s">
        <v>441</v>
      </c>
      <c r="G33" s="11" t="s">
        <v>486</v>
      </c>
      <c r="H33" s="11" t="s">
        <v>487</v>
      </c>
      <c r="I33" s="11" t="s">
        <v>488</v>
      </c>
      <c r="J33" s="11" t="s">
        <v>489</v>
      </c>
      <c r="K33" s="9" t="s">
        <v>391</v>
      </c>
    </row>
    <row r="34" customFormat="false" ht="46.25" hidden="false" customHeight="false" outlineLevel="0" collapsed="false">
      <c r="A34" s="9" t="s">
        <v>10</v>
      </c>
      <c r="B34" s="9" t="s">
        <v>11</v>
      </c>
      <c r="C34" s="9" t="s">
        <v>167</v>
      </c>
      <c r="D34" s="9" t="s">
        <v>168</v>
      </c>
      <c r="E34" s="9" t="s">
        <v>386</v>
      </c>
      <c r="F34" s="11" t="s">
        <v>400</v>
      </c>
      <c r="G34" s="11" t="s">
        <v>490</v>
      </c>
      <c r="H34" s="11" t="s">
        <v>491</v>
      </c>
      <c r="I34" s="11"/>
      <c r="J34" s="11" t="s">
        <v>492</v>
      </c>
      <c r="K34" s="9" t="s">
        <v>391</v>
      </c>
    </row>
    <row r="35" customFormat="false" ht="46.25" hidden="false" customHeight="false" outlineLevel="0" collapsed="false">
      <c r="A35" s="9" t="s">
        <v>10</v>
      </c>
      <c r="B35" s="9" t="s">
        <v>11</v>
      </c>
      <c r="C35" s="9" t="s">
        <v>167</v>
      </c>
      <c r="D35" s="9" t="s">
        <v>168</v>
      </c>
      <c r="E35" s="9" t="s">
        <v>386</v>
      </c>
      <c r="F35" s="11" t="s">
        <v>400</v>
      </c>
      <c r="G35" s="11" t="s">
        <v>493</v>
      </c>
      <c r="H35" s="11" t="s">
        <v>494</v>
      </c>
      <c r="I35" s="11"/>
      <c r="J35" s="11" t="s">
        <v>495</v>
      </c>
      <c r="K35" s="9" t="s">
        <v>391</v>
      </c>
    </row>
    <row r="36" customFormat="false" ht="46.25" hidden="false" customHeight="false" outlineLevel="0" collapsed="false">
      <c r="A36" s="9" t="s">
        <v>10</v>
      </c>
      <c r="B36" s="9" t="s">
        <v>11</v>
      </c>
      <c r="C36" s="9" t="s">
        <v>167</v>
      </c>
      <c r="D36" s="9" t="s">
        <v>168</v>
      </c>
      <c r="E36" s="9" t="s">
        <v>386</v>
      </c>
      <c r="F36" s="11" t="s">
        <v>410</v>
      </c>
      <c r="G36" s="11" t="s">
        <v>496</v>
      </c>
      <c r="H36" s="11" t="s">
        <v>497</v>
      </c>
      <c r="I36" s="11"/>
      <c r="J36" s="11" t="s">
        <v>498</v>
      </c>
      <c r="K36" s="9" t="s">
        <v>391</v>
      </c>
    </row>
    <row r="37" customFormat="false" ht="46.25" hidden="false" customHeight="false" outlineLevel="0" collapsed="false">
      <c r="A37" s="9" t="s">
        <v>10</v>
      </c>
      <c r="B37" s="9" t="s">
        <v>11</v>
      </c>
      <c r="C37" s="9" t="s">
        <v>167</v>
      </c>
      <c r="D37" s="9" t="s">
        <v>168</v>
      </c>
      <c r="E37" s="9" t="s">
        <v>386</v>
      </c>
      <c r="F37" s="11" t="s">
        <v>419</v>
      </c>
      <c r="G37" s="11" t="s">
        <v>499</v>
      </c>
      <c r="H37" s="11" t="s">
        <v>500</v>
      </c>
      <c r="I37" s="11"/>
      <c r="J37" s="11" t="s">
        <v>501</v>
      </c>
      <c r="K37" s="9" t="s">
        <v>391</v>
      </c>
    </row>
    <row r="38" customFormat="false" ht="46.25" hidden="false" customHeight="false" outlineLevel="0" collapsed="false">
      <c r="A38" s="9" t="s">
        <v>10</v>
      </c>
      <c r="B38" s="9" t="s">
        <v>11</v>
      </c>
      <c r="C38" s="9" t="s">
        <v>167</v>
      </c>
      <c r="D38" s="9" t="s">
        <v>168</v>
      </c>
      <c r="E38" s="9" t="s">
        <v>386</v>
      </c>
      <c r="F38" s="11" t="s">
        <v>419</v>
      </c>
      <c r="G38" s="11" t="s">
        <v>502</v>
      </c>
      <c r="H38" s="11" t="s">
        <v>503</v>
      </c>
      <c r="I38" s="11"/>
      <c r="J38" s="11" t="s">
        <v>504</v>
      </c>
      <c r="K38" s="9" t="s">
        <v>391</v>
      </c>
    </row>
    <row r="39" customFormat="false" ht="35.05" hidden="false" customHeight="false" outlineLevel="0" collapsed="false">
      <c r="A39" s="9" t="s">
        <v>10</v>
      </c>
      <c r="B39" s="9" t="s">
        <v>11</v>
      </c>
      <c r="C39" s="9" t="s">
        <v>167</v>
      </c>
      <c r="D39" s="9" t="s">
        <v>168</v>
      </c>
      <c r="E39" s="9" t="s">
        <v>386</v>
      </c>
      <c r="F39" s="11" t="s">
        <v>392</v>
      </c>
      <c r="G39" s="11" t="s">
        <v>505</v>
      </c>
      <c r="H39" s="11" t="s">
        <v>506</v>
      </c>
      <c r="I39" s="11"/>
      <c r="J39" s="11" t="s">
        <v>507</v>
      </c>
      <c r="K39" s="9" t="s">
        <v>391</v>
      </c>
    </row>
    <row r="40" customFormat="false" ht="46.25" hidden="false" customHeight="false" outlineLevel="0" collapsed="false">
      <c r="A40" s="9" t="s">
        <v>10</v>
      </c>
      <c r="B40" s="9" t="s">
        <v>12</v>
      </c>
      <c r="C40" s="9" t="s">
        <v>190</v>
      </c>
      <c r="D40" s="9" t="s">
        <v>191</v>
      </c>
      <c r="E40" s="9" t="s">
        <v>386</v>
      </c>
      <c r="F40" s="11" t="s">
        <v>400</v>
      </c>
      <c r="G40" s="11" t="s">
        <v>508</v>
      </c>
      <c r="H40" s="11" t="s">
        <v>509</v>
      </c>
      <c r="I40" s="11"/>
      <c r="J40" s="11" t="s">
        <v>510</v>
      </c>
      <c r="K40" s="9" t="s">
        <v>391</v>
      </c>
    </row>
    <row r="41" customFormat="false" ht="46.25" hidden="false" customHeight="false" outlineLevel="0" collapsed="false">
      <c r="A41" s="9" t="s">
        <v>10</v>
      </c>
      <c r="B41" s="9" t="s">
        <v>12</v>
      </c>
      <c r="C41" s="9" t="s">
        <v>190</v>
      </c>
      <c r="D41" s="9" t="s">
        <v>191</v>
      </c>
      <c r="E41" s="9" t="s">
        <v>386</v>
      </c>
      <c r="F41" s="11" t="s">
        <v>400</v>
      </c>
      <c r="G41" s="11" t="s">
        <v>511</v>
      </c>
      <c r="H41" s="11" t="s">
        <v>512</v>
      </c>
      <c r="I41" s="11"/>
      <c r="J41" s="11" t="s">
        <v>513</v>
      </c>
      <c r="K41" s="9" t="s">
        <v>391</v>
      </c>
    </row>
    <row r="42" customFormat="false" ht="57.45" hidden="false" customHeight="false" outlineLevel="0" collapsed="false">
      <c r="A42" s="9" t="s">
        <v>10</v>
      </c>
      <c r="B42" s="9" t="s">
        <v>12</v>
      </c>
      <c r="C42" s="9" t="s">
        <v>190</v>
      </c>
      <c r="D42" s="9" t="s">
        <v>191</v>
      </c>
      <c r="E42" s="9" t="s">
        <v>386</v>
      </c>
      <c r="F42" s="11" t="s">
        <v>396</v>
      </c>
      <c r="G42" s="11" t="s">
        <v>514</v>
      </c>
      <c r="H42" s="11" t="s">
        <v>515</v>
      </c>
      <c r="I42" s="11"/>
      <c r="J42" s="11" t="s">
        <v>516</v>
      </c>
      <c r="K42" s="9" t="s">
        <v>391</v>
      </c>
    </row>
    <row r="43" customFormat="false" ht="46.25" hidden="false" customHeight="false" outlineLevel="0" collapsed="false">
      <c r="A43" s="9" t="s">
        <v>10</v>
      </c>
      <c r="B43" s="9" t="s">
        <v>12</v>
      </c>
      <c r="C43" s="9" t="s">
        <v>190</v>
      </c>
      <c r="D43" s="9" t="s">
        <v>191</v>
      </c>
      <c r="E43" s="9" t="s">
        <v>386</v>
      </c>
      <c r="F43" s="11" t="s">
        <v>441</v>
      </c>
      <c r="G43" s="11" t="s">
        <v>517</v>
      </c>
      <c r="H43" s="11" t="s">
        <v>518</v>
      </c>
      <c r="I43" s="11"/>
      <c r="J43" s="11" t="s">
        <v>519</v>
      </c>
      <c r="K43" s="9" t="s">
        <v>391</v>
      </c>
    </row>
    <row r="44" customFormat="false" ht="57.45" hidden="false" customHeight="false" outlineLevel="0" collapsed="false">
      <c r="A44" s="9" t="s">
        <v>10</v>
      </c>
      <c r="B44" s="9" t="s">
        <v>12</v>
      </c>
      <c r="C44" s="9" t="s">
        <v>43</v>
      </c>
      <c r="D44" s="9" t="s">
        <v>44</v>
      </c>
      <c r="E44" s="9" t="s">
        <v>386</v>
      </c>
      <c r="F44" s="11" t="s">
        <v>410</v>
      </c>
      <c r="G44" s="11" t="s">
        <v>520</v>
      </c>
      <c r="H44" s="11" t="s">
        <v>521</v>
      </c>
      <c r="I44" s="11"/>
      <c r="J44" s="11" t="s">
        <v>522</v>
      </c>
      <c r="K44" s="9" t="s">
        <v>391</v>
      </c>
    </row>
    <row r="45" customFormat="false" ht="79.85" hidden="false" customHeight="false" outlineLevel="0" collapsed="false">
      <c r="A45" s="9" t="s">
        <v>10</v>
      </c>
      <c r="B45" s="9" t="s">
        <v>12</v>
      </c>
      <c r="C45" s="9" t="s">
        <v>43</v>
      </c>
      <c r="D45" s="9" t="s">
        <v>44</v>
      </c>
      <c r="E45" s="9" t="s">
        <v>386</v>
      </c>
      <c r="F45" s="11" t="s">
        <v>419</v>
      </c>
      <c r="G45" s="11" t="s">
        <v>523</v>
      </c>
      <c r="H45" s="11" t="s">
        <v>524</v>
      </c>
      <c r="I45" s="11"/>
      <c r="J45" s="11" t="s">
        <v>525</v>
      </c>
      <c r="K45" s="9" t="s">
        <v>391</v>
      </c>
    </row>
    <row r="46" customFormat="false" ht="57.45" hidden="false" customHeight="false" outlineLevel="0" collapsed="false">
      <c r="A46" s="9" t="s">
        <v>10</v>
      </c>
      <c r="B46" s="9" t="s">
        <v>12</v>
      </c>
      <c r="C46" s="9" t="s">
        <v>43</v>
      </c>
      <c r="D46" s="9" t="s">
        <v>44</v>
      </c>
      <c r="E46" s="9" t="s">
        <v>386</v>
      </c>
      <c r="F46" s="11" t="s">
        <v>400</v>
      </c>
      <c r="G46" s="11" t="s">
        <v>526</v>
      </c>
      <c r="H46" s="11" t="s">
        <v>527</v>
      </c>
      <c r="I46" s="11"/>
      <c r="J46" s="11" t="s">
        <v>528</v>
      </c>
      <c r="K46" s="9" t="s">
        <v>391</v>
      </c>
    </row>
    <row r="47" customFormat="false" ht="46.25" hidden="false" customHeight="false" outlineLevel="0" collapsed="false">
      <c r="A47" s="9" t="s">
        <v>10</v>
      </c>
      <c r="B47" s="9" t="s">
        <v>12</v>
      </c>
      <c r="C47" s="9" t="s">
        <v>43</v>
      </c>
      <c r="D47" s="9" t="s">
        <v>44</v>
      </c>
      <c r="E47" s="9" t="s">
        <v>386</v>
      </c>
      <c r="F47" s="11" t="s">
        <v>400</v>
      </c>
      <c r="G47" s="11" t="s">
        <v>529</v>
      </c>
      <c r="H47" s="11" t="s">
        <v>530</v>
      </c>
      <c r="I47" s="11"/>
      <c r="J47" s="11" t="s">
        <v>531</v>
      </c>
      <c r="K47" s="9" t="s">
        <v>391</v>
      </c>
    </row>
    <row r="48" customFormat="false" ht="79.85" hidden="false" customHeight="false" outlineLevel="0" collapsed="false">
      <c r="A48" s="9" t="s">
        <v>10</v>
      </c>
      <c r="B48" s="9" t="s">
        <v>12</v>
      </c>
      <c r="C48" s="9" t="s">
        <v>43</v>
      </c>
      <c r="D48" s="9" t="s">
        <v>44</v>
      </c>
      <c r="E48" s="9" t="s">
        <v>465</v>
      </c>
      <c r="F48" s="11" t="s">
        <v>466</v>
      </c>
      <c r="G48" s="11" t="s">
        <v>532</v>
      </c>
      <c r="H48" s="11" t="s">
        <v>533</v>
      </c>
      <c r="I48" s="11"/>
      <c r="J48" s="11" t="s">
        <v>534</v>
      </c>
      <c r="K48" s="9" t="s">
        <v>391</v>
      </c>
    </row>
    <row r="49" customFormat="false" ht="57.45" hidden="false" customHeight="false" outlineLevel="0" collapsed="false">
      <c r="A49" s="9" t="s">
        <v>10</v>
      </c>
      <c r="B49" s="9" t="s">
        <v>12</v>
      </c>
      <c r="C49" s="9" t="s">
        <v>186</v>
      </c>
      <c r="D49" s="9" t="s">
        <v>187</v>
      </c>
      <c r="E49" s="9" t="s">
        <v>386</v>
      </c>
      <c r="F49" s="11" t="s">
        <v>400</v>
      </c>
      <c r="G49" s="11" t="s">
        <v>535</v>
      </c>
      <c r="H49" s="11" t="s">
        <v>536</v>
      </c>
      <c r="I49" s="11"/>
      <c r="J49" s="11" t="s">
        <v>537</v>
      </c>
      <c r="K49" s="9" t="s">
        <v>391</v>
      </c>
    </row>
    <row r="50" customFormat="false" ht="46.25" hidden="false" customHeight="false" outlineLevel="0" collapsed="false">
      <c r="A50" s="9" t="s">
        <v>10</v>
      </c>
      <c r="B50" s="9" t="s">
        <v>12</v>
      </c>
      <c r="C50" s="9" t="s">
        <v>186</v>
      </c>
      <c r="D50" s="9" t="s">
        <v>187</v>
      </c>
      <c r="E50" s="9" t="s">
        <v>386</v>
      </c>
      <c r="F50" s="11" t="s">
        <v>410</v>
      </c>
      <c r="G50" s="11" t="s">
        <v>538</v>
      </c>
      <c r="H50" s="11" t="s">
        <v>539</v>
      </c>
      <c r="I50" s="11"/>
      <c r="J50" s="11" t="s">
        <v>540</v>
      </c>
      <c r="K50" s="9" t="s">
        <v>391</v>
      </c>
    </row>
    <row r="51" customFormat="false" ht="46.25" hidden="false" customHeight="false" outlineLevel="0" collapsed="false">
      <c r="A51" s="9" t="s">
        <v>10</v>
      </c>
      <c r="B51" s="9" t="s">
        <v>12</v>
      </c>
      <c r="C51" s="9" t="s">
        <v>186</v>
      </c>
      <c r="D51" s="9" t="s">
        <v>187</v>
      </c>
      <c r="E51" s="9" t="s">
        <v>386</v>
      </c>
      <c r="F51" s="11" t="s">
        <v>392</v>
      </c>
      <c r="G51" s="11" t="s">
        <v>541</v>
      </c>
      <c r="H51" s="11" t="s">
        <v>542</v>
      </c>
      <c r="I51" s="11"/>
      <c r="J51" s="11" t="s">
        <v>543</v>
      </c>
      <c r="K51" s="9" t="s">
        <v>391</v>
      </c>
    </row>
    <row r="52" customFormat="false" ht="46.25" hidden="false" customHeight="false" outlineLevel="0" collapsed="false">
      <c r="A52" s="9" t="s">
        <v>10</v>
      </c>
      <c r="B52" s="9" t="s">
        <v>12</v>
      </c>
      <c r="C52" s="9" t="s">
        <v>186</v>
      </c>
      <c r="D52" s="9" t="s">
        <v>187</v>
      </c>
      <c r="E52" s="9" t="s">
        <v>386</v>
      </c>
      <c r="F52" s="11" t="s">
        <v>392</v>
      </c>
      <c r="G52" s="11" t="s">
        <v>544</v>
      </c>
      <c r="H52" s="11" t="s">
        <v>545</v>
      </c>
      <c r="I52" s="11"/>
      <c r="J52" s="11" t="s">
        <v>543</v>
      </c>
      <c r="K52" s="9" t="s">
        <v>391</v>
      </c>
    </row>
    <row r="53" customFormat="false" ht="46.25" hidden="false" customHeight="false" outlineLevel="0" collapsed="false">
      <c r="A53" s="9" t="s">
        <v>10</v>
      </c>
      <c r="B53" s="9" t="s">
        <v>12</v>
      </c>
      <c r="C53" s="9" t="s">
        <v>186</v>
      </c>
      <c r="D53" s="9" t="s">
        <v>187</v>
      </c>
      <c r="E53" s="9" t="s">
        <v>386</v>
      </c>
      <c r="F53" s="11" t="s">
        <v>392</v>
      </c>
      <c r="G53" s="11" t="s">
        <v>546</v>
      </c>
      <c r="H53" s="11" t="s">
        <v>547</v>
      </c>
      <c r="I53" s="11"/>
      <c r="J53" s="11" t="s">
        <v>543</v>
      </c>
      <c r="K53" s="9" t="s">
        <v>391</v>
      </c>
    </row>
    <row r="54" customFormat="false" ht="46.25" hidden="false" customHeight="false" outlineLevel="0" collapsed="false">
      <c r="A54" s="9" t="s">
        <v>10</v>
      </c>
      <c r="B54" s="9" t="s">
        <v>12</v>
      </c>
      <c r="C54" s="9" t="s">
        <v>186</v>
      </c>
      <c r="D54" s="9" t="s">
        <v>187</v>
      </c>
      <c r="E54" s="9" t="s">
        <v>386</v>
      </c>
      <c r="F54" s="11" t="s">
        <v>396</v>
      </c>
      <c r="G54" s="11" t="s">
        <v>548</v>
      </c>
      <c r="H54" s="11" t="s">
        <v>549</v>
      </c>
      <c r="I54" s="11"/>
      <c r="J54" s="11" t="s">
        <v>550</v>
      </c>
      <c r="K54" s="9" t="s">
        <v>391</v>
      </c>
    </row>
    <row r="55" customFormat="false" ht="46.25" hidden="false" customHeight="false" outlineLevel="0" collapsed="false">
      <c r="A55" s="9" t="s">
        <v>10</v>
      </c>
      <c r="B55" s="9" t="s">
        <v>12</v>
      </c>
      <c r="C55" s="9" t="s">
        <v>37</v>
      </c>
      <c r="D55" s="9" t="s">
        <v>38</v>
      </c>
      <c r="E55" s="9" t="s">
        <v>386</v>
      </c>
      <c r="F55" s="11" t="s">
        <v>419</v>
      </c>
      <c r="G55" s="11" t="s">
        <v>551</v>
      </c>
      <c r="H55" s="11" t="s">
        <v>552</v>
      </c>
      <c r="I55" s="11"/>
      <c r="J55" s="11" t="s">
        <v>553</v>
      </c>
      <c r="K55" s="9" t="s">
        <v>391</v>
      </c>
    </row>
    <row r="56" customFormat="false" ht="46.25" hidden="false" customHeight="false" outlineLevel="0" collapsed="false">
      <c r="A56" s="9" t="s">
        <v>10</v>
      </c>
      <c r="B56" s="9" t="s">
        <v>12</v>
      </c>
      <c r="C56" s="9" t="s">
        <v>37</v>
      </c>
      <c r="D56" s="9" t="s">
        <v>38</v>
      </c>
      <c r="E56" s="9" t="s">
        <v>386</v>
      </c>
      <c r="F56" s="11" t="s">
        <v>419</v>
      </c>
      <c r="G56" s="11" t="s">
        <v>554</v>
      </c>
      <c r="H56" s="11" t="s">
        <v>555</v>
      </c>
      <c r="I56" s="11"/>
      <c r="J56" s="11" t="s">
        <v>556</v>
      </c>
      <c r="K56" s="9" t="s">
        <v>391</v>
      </c>
    </row>
    <row r="57" customFormat="false" ht="57.45" hidden="false" customHeight="false" outlineLevel="0" collapsed="false">
      <c r="A57" s="9" t="s">
        <v>10</v>
      </c>
      <c r="B57" s="9" t="s">
        <v>12</v>
      </c>
      <c r="C57" s="9" t="s">
        <v>37</v>
      </c>
      <c r="D57" s="9" t="s">
        <v>38</v>
      </c>
      <c r="E57" s="9" t="s">
        <v>386</v>
      </c>
      <c r="F57" s="11" t="s">
        <v>387</v>
      </c>
      <c r="G57" s="11" t="s">
        <v>557</v>
      </c>
      <c r="H57" s="11" t="s">
        <v>558</v>
      </c>
      <c r="I57" s="11"/>
      <c r="J57" s="11" t="s">
        <v>559</v>
      </c>
      <c r="K57" s="9" t="s">
        <v>391</v>
      </c>
    </row>
    <row r="58" customFormat="false" ht="57.45" hidden="false" customHeight="false" outlineLevel="0" collapsed="false">
      <c r="A58" s="9" t="s">
        <v>10</v>
      </c>
      <c r="B58" s="9" t="s">
        <v>12</v>
      </c>
      <c r="C58" s="9" t="s">
        <v>37</v>
      </c>
      <c r="D58" s="9" t="s">
        <v>38</v>
      </c>
      <c r="E58" s="9" t="s">
        <v>386</v>
      </c>
      <c r="F58" s="11" t="s">
        <v>410</v>
      </c>
      <c r="G58" s="11" t="s">
        <v>560</v>
      </c>
      <c r="H58" s="11" t="s">
        <v>561</v>
      </c>
      <c r="I58" s="11"/>
      <c r="J58" s="11" t="s">
        <v>562</v>
      </c>
      <c r="K58" s="9" t="s">
        <v>391</v>
      </c>
    </row>
    <row r="59" customFormat="false" ht="46.25" hidden="false" customHeight="false" outlineLevel="0" collapsed="false">
      <c r="A59" s="9" t="s">
        <v>10</v>
      </c>
      <c r="B59" s="9" t="s">
        <v>12</v>
      </c>
      <c r="C59" s="9" t="s">
        <v>37</v>
      </c>
      <c r="D59" s="9" t="s">
        <v>38</v>
      </c>
      <c r="E59" s="9" t="s">
        <v>386</v>
      </c>
      <c r="F59" s="11" t="s">
        <v>400</v>
      </c>
      <c r="G59" s="11" t="s">
        <v>563</v>
      </c>
      <c r="H59" s="11" t="s">
        <v>564</v>
      </c>
      <c r="I59" s="11"/>
      <c r="J59" s="11" t="s">
        <v>565</v>
      </c>
      <c r="K59" s="9" t="s">
        <v>391</v>
      </c>
    </row>
    <row r="60" customFormat="false" ht="57.45" hidden="false" customHeight="false" outlineLevel="0" collapsed="false">
      <c r="A60" s="9" t="s">
        <v>10</v>
      </c>
      <c r="B60" s="9" t="s">
        <v>12</v>
      </c>
      <c r="C60" s="9" t="s">
        <v>37</v>
      </c>
      <c r="D60" s="9" t="s">
        <v>38</v>
      </c>
      <c r="E60" s="9" t="s">
        <v>386</v>
      </c>
      <c r="F60" s="11" t="s">
        <v>400</v>
      </c>
      <c r="G60" s="11" t="s">
        <v>566</v>
      </c>
      <c r="H60" s="11" t="s">
        <v>567</v>
      </c>
      <c r="I60" s="11"/>
      <c r="J60" s="11" t="s">
        <v>568</v>
      </c>
      <c r="K60" s="9" t="s">
        <v>391</v>
      </c>
    </row>
    <row r="61" customFormat="false" ht="57.45" hidden="false" customHeight="false" outlineLevel="0" collapsed="false">
      <c r="A61" s="9" t="s">
        <v>10</v>
      </c>
      <c r="B61" s="9" t="s">
        <v>12</v>
      </c>
      <c r="C61" s="9" t="s">
        <v>37</v>
      </c>
      <c r="D61" s="9" t="s">
        <v>38</v>
      </c>
      <c r="E61" s="9" t="s">
        <v>386</v>
      </c>
      <c r="F61" s="11" t="s">
        <v>392</v>
      </c>
      <c r="G61" s="11" t="s">
        <v>569</v>
      </c>
      <c r="H61" s="11" t="s">
        <v>570</v>
      </c>
      <c r="I61" s="11"/>
      <c r="J61" s="11" t="s">
        <v>571</v>
      </c>
      <c r="K61" s="9" t="s">
        <v>391</v>
      </c>
    </row>
    <row r="62" customFormat="false" ht="46.25" hidden="false" customHeight="false" outlineLevel="0" collapsed="false">
      <c r="A62" s="9" t="s">
        <v>10</v>
      </c>
      <c r="B62" s="9" t="s">
        <v>12</v>
      </c>
      <c r="C62" s="9" t="s">
        <v>37</v>
      </c>
      <c r="D62" s="9" t="s">
        <v>38</v>
      </c>
      <c r="E62" s="9" t="s">
        <v>386</v>
      </c>
      <c r="F62" s="11" t="s">
        <v>392</v>
      </c>
      <c r="G62" s="11" t="s">
        <v>572</v>
      </c>
      <c r="H62" s="11" t="s">
        <v>573</v>
      </c>
      <c r="I62" s="11"/>
      <c r="J62" s="11" t="s">
        <v>574</v>
      </c>
      <c r="K62" s="9" t="s">
        <v>391</v>
      </c>
    </row>
    <row r="63" customFormat="false" ht="68.65" hidden="false" customHeight="false" outlineLevel="0" collapsed="false">
      <c r="A63" s="9" t="s">
        <v>10</v>
      </c>
      <c r="B63" s="9" t="s">
        <v>12</v>
      </c>
      <c r="C63" s="9" t="s">
        <v>37</v>
      </c>
      <c r="D63" s="9" t="s">
        <v>38</v>
      </c>
      <c r="E63" s="9" t="s">
        <v>465</v>
      </c>
      <c r="F63" s="11" t="s">
        <v>466</v>
      </c>
      <c r="G63" s="11" t="s">
        <v>575</v>
      </c>
      <c r="H63" s="11" t="s">
        <v>576</v>
      </c>
      <c r="I63" s="11"/>
      <c r="J63" s="11" t="s">
        <v>577</v>
      </c>
      <c r="K63" s="9" t="s">
        <v>391</v>
      </c>
    </row>
    <row r="64" customFormat="false" ht="46.25" hidden="false" customHeight="false" outlineLevel="0" collapsed="false">
      <c r="A64" s="9" t="s">
        <v>10</v>
      </c>
      <c r="B64" s="9" t="s">
        <v>12</v>
      </c>
      <c r="C64" s="9" t="s">
        <v>40</v>
      </c>
      <c r="D64" s="9" t="s">
        <v>41</v>
      </c>
      <c r="E64" s="9" t="s">
        <v>386</v>
      </c>
      <c r="F64" s="11" t="s">
        <v>400</v>
      </c>
      <c r="G64" s="11" t="s">
        <v>578</v>
      </c>
      <c r="H64" s="11" t="s">
        <v>579</v>
      </c>
      <c r="I64" s="11"/>
      <c r="J64" s="11" t="s">
        <v>580</v>
      </c>
      <c r="K64" s="9" t="s">
        <v>391</v>
      </c>
    </row>
    <row r="65" customFormat="false" ht="57.45" hidden="false" customHeight="false" outlineLevel="0" collapsed="false">
      <c r="A65" s="9" t="s">
        <v>10</v>
      </c>
      <c r="B65" s="9" t="s">
        <v>12</v>
      </c>
      <c r="C65" s="9" t="s">
        <v>40</v>
      </c>
      <c r="D65" s="9" t="s">
        <v>41</v>
      </c>
      <c r="E65" s="9" t="s">
        <v>386</v>
      </c>
      <c r="F65" s="11" t="s">
        <v>392</v>
      </c>
      <c r="G65" s="11" t="s">
        <v>581</v>
      </c>
      <c r="H65" s="11" t="s">
        <v>582</v>
      </c>
      <c r="I65" s="11"/>
      <c r="J65" s="11" t="s">
        <v>583</v>
      </c>
      <c r="K65" s="9" t="s">
        <v>391</v>
      </c>
    </row>
    <row r="66" customFormat="false" ht="46.25" hidden="false" customHeight="false" outlineLevel="0" collapsed="false">
      <c r="A66" s="9" t="s">
        <v>10</v>
      </c>
      <c r="B66" s="9" t="s">
        <v>12</v>
      </c>
      <c r="C66" s="9" t="s">
        <v>40</v>
      </c>
      <c r="D66" s="9" t="s">
        <v>41</v>
      </c>
      <c r="E66" s="9" t="s">
        <v>386</v>
      </c>
      <c r="F66" s="11" t="s">
        <v>392</v>
      </c>
      <c r="G66" s="11" t="s">
        <v>584</v>
      </c>
      <c r="H66" s="11" t="s">
        <v>585</v>
      </c>
      <c r="I66" s="11"/>
      <c r="J66" s="11" t="s">
        <v>586</v>
      </c>
      <c r="K66" s="9" t="s">
        <v>391</v>
      </c>
    </row>
    <row r="67" customFormat="false" ht="57.45" hidden="false" customHeight="false" outlineLevel="0" collapsed="false">
      <c r="A67" s="9" t="s">
        <v>10</v>
      </c>
      <c r="B67" s="9" t="s">
        <v>12</v>
      </c>
      <c r="C67" s="9" t="s">
        <v>40</v>
      </c>
      <c r="D67" s="9" t="s">
        <v>41</v>
      </c>
      <c r="E67" s="9" t="s">
        <v>386</v>
      </c>
      <c r="F67" s="11" t="s">
        <v>410</v>
      </c>
      <c r="G67" s="11" t="s">
        <v>587</v>
      </c>
      <c r="H67" s="11" t="s">
        <v>588</v>
      </c>
      <c r="I67" s="11"/>
      <c r="J67" s="11" t="s">
        <v>589</v>
      </c>
      <c r="K67" s="9" t="s">
        <v>391</v>
      </c>
    </row>
    <row r="68" customFormat="false" ht="68.65" hidden="false" customHeight="false" outlineLevel="0" collapsed="false">
      <c r="A68" s="9" t="s">
        <v>10</v>
      </c>
      <c r="B68" s="9" t="s">
        <v>12</v>
      </c>
      <c r="C68" s="9" t="s">
        <v>40</v>
      </c>
      <c r="D68" s="9" t="s">
        <v>41</v>
      </c>
      <c r="E68" s="9" t="s">
        <v>386</v>
      </c>
      <c r="F68" s="11" t="s">
        <v>410</v>
      </c>
      <c r="G68" s="11" t="s">
        <v>590</v>
      </c>
      <c r="H68" s="11" t="s">
        <v>591</v>
      </c>
      <c r="I68" s="11"/>
      <c r="J68" s="11" t="s">
        <v>592</v>
      </c>
      <c r="K68" s="9" t="s">
        <v>391</v>
      </c>
    </row>
    <row r="69" customFormat="false" ht="57.45" hidden="false" customHeight="false" outlineLevel="0" collapsed="false">
      <c r="A69" s="9" t="s">
        <v>10</v>
      </c>
      <c r="B69" s="9" t="s">
        <v>12</v>
      </c>
      <c r="C69" s="9" t="s">
        <v>40</v>
      </c>
      <c r="D69" s="9" t="s">
        <v>41</v>
      </c>
      <c r="E69" s="9" t="s">
        <v>386</v>
      </c>
      <c r="F69" s="11" t="s">
        <v>410</v>
      </c>
      <c r="G69" s="11" t="s">
        <v>593</v>
      </c>
      <c r="H69" s="11" t="s">
        <v>594</v>
      </c>
      <c r="I69" s="11"/>
      <c r="J69" s="11" t="s">
        <v>595</v>
      </c>
      <c r="K69" s="9" t="s">
        <v>391</v>
      </c>
    </row>
    <row r="70" customFormat="false" ht="68.65" hidden="false" customHeight="false" outlineLevel="0" collapsed="false">
      <c r="A70" s="9" t="s">
        <v>10</v>
      </c>
      <c r="B70" s="9" t="s">
        <v>12</v>
      </c>
      <c r="C70" s="9" t="s">
        <v>40</v>
      </c>
      <c r="D70" s="9" t="s">
        <v>41</v>
      </c>
      <c r="E70" s="9" t="s">
        <v>386</v>
      </c>
      <c r="F70" s="11" t="s">
        <v>410</v>
      </c>
      <c r="G70" s="11" t="s">
        <v>596</v>
      </c>
      <c r="H70" s="11" t="s">
        <v>597</v>
      </c>
      <c r="I70" s="11"/>
      <c r="J70" s="11" t="s">
        <v>598</v>
      </c>
      <c r="K70" s="9" t="s">
        <v>391</v>
      </c>
    </row>
    <row r="71" customFormat="false" ht="46.25" hidden="false" customHeight="false" outlineLevel="0" collapsed="false">
      <c r="A71" s="9" t="s">
        <v>10</v>
      </c>
      <c r="B71" s="9" t="s">
        <v>12</v>
      </c>
      <c r="C71" s="9" t="s">
        <v>40</v>
      </c>
      <c r="D71" s="9" t="s">
        <v>41</v>
      </c>
      <c r="E71" s="9" t="s">
        <v>386</v>
      </c>
      <c r="F71" s="11" t="s">
        <v>410</v>
      </c>
      <c r="G71" s="11" t="s">
        <v>599</v>
      </c>
      <c r="H71" s="11" t="s">
        <v>600</v>
      </c>
      <c r="I71" s="11"/>
      <c r="J71" s="11" t="s">
        <v>601</v>
      </c>
      <c r="K71" s="9" t="s">
        <v>391</v>
      </c>
    </row>
    <row r="72" customFormat="false" ht="46.25" hidden="false" customHeight="false" outlineLevel="0" collapsed="false">
      <c r="A72" s="9" t="s">
        <v>10</v>
      </c>
      <c r="B72" s="9" t="s">
        <v>12</v>
      </c>
      <c r="C72" s="9" t="s">
        <v>40</v>
      </c>
      <c r="D72" s="9" t="s">
        <v>41</v>
      </c>
      <c r="E72" s="9" t="s">
        <v>386</v>
      </c>
      <c r="F72" s="11" t="s">
        <v>410</v>
      </c>
      <c r="G72" s="11" t="s">
        <v>602</v>
      </c>
      <c r="H72" s="11" t="s">
        <v>603</v>
      </c>
      <c r="I72" s="11"/>
      <c r="J72" s="11" t="s">
        <v>604</v>
      </c>
      <c r="K72" s="9" t="s">
        <v>391</v>
      </c>
    </row>
    <row r="73" customFormat="false" ht="79.85" hidden="false" customHeight="false" outlineLevel="0" collapsed="false">
      <c r="A73" s="9" t="s">
        <v>10</v>
      </c>
      <c r="B73" s="9" t="s">
        <v>12</v>
      </c>
      <c r="C73" s="9" t="s">
        <v>40</v>
      </c>
      <c r="D73" s="9" t="s">
        <v>41</v>
      </c>
      <c r="E73" s="9" t="s">
        <v>465</v>
      </c>
      <c r="F73" s="11" t="s">
        <v>466</v>
      </c>
      <c r="G73" s="11" t="s">
        <v>605</v>
      </c>
      <c r="H73" s="11" t="s">
        <v>606</v>
      </c>
      <c r="I73" s="11"/>
      <c r="J73" s="11" t="s">
        <v>607</v>
      </c>
      <c r="K73" s="9" t="s">
        <v>391</v>
      </c>
    </row>
    <row r="74" customFormat="false" ht="35.05" hidden="false" customHeight="false" outlineLevel="0" collapsed="false">
      <c r="A74" s="9" t="s">
        <v>10</v>
      </c>
      <c r="B74" s="9" t="s">
        <v>13</v>
      </c>
      <c r="C74" s="9" t="s">
        <v>206</v>
      </c>
      <c r="D74" s="9" t="s">
        <v>207</v>
      </c>
      <c r="E74" s="9" t="s">
        <v>386</v>
      </c>
      <c r="F74" s="11" t="s">
        <v>400</v>
      </c>
      <c r="G74" s="11" t="s">
        <v>608</v>
      </c>
      <c r="H74" s="11" t="s">
        <v>609</v>
      </c>
      <c r="I74" s="11"/>
      <c r="J74" s="11" t="s">
        <v>610</v>
      </c>
      <c r="K74" s="9" t="s">
        <v>391</v>
      </c>
    </row>
    <row r="75" customFormat="false" ht="35.05" hidden="false" customHeight="false" outlineLevel="0" collapsed="false">
      <c r="A75" s="9" t="s">
        <v>10</v>
      </c>
      <c r="B75" s="9" t="s">
        <v>13</v>
      </c>
      <c r="C75" s="9" t="s">
        <v>206</v>
      </c>
      <c r="D75" s="9" t="s">
        <v>207</v>
      </c>
      <c r="E75" s="9" t="s">
        <v>386</v>
      </c>
      <c r="F75" s="11" t="s">
        <v>400</v>
      </c>
      <c r="G75" s="11" t="s">
        <v>611</v>
      </c>
      <c r="H75" s="11" t="s">
        <v>612</v>
      </c>
      <c r="I75" s="11"/>
      <c r="J75" s="11" t="s">
        <v>610</v>
      </c>
      <c r="K75" s="9" t="s">
        <v>391</v>
      </c>
    </row>
    <row r="76" customFormat="false" ht="35.05" hidden="false" customHeight="false" outlineLevel="0" collapsed="false">
      <c r="A76" s="9" t="s">
        <v>10</v>
      </c>
      <c r="B76" s="9" t="s">
        <v>13</v>
      </c>
      <c r="C76" s="9" t="s">
        <v>206</v>
      </c>
      <c r="D76" s="9" t="s">
        <v>207</v>
      </c>
      <c r="E76" s="9" t="s">
        <v>386</v>
      </c>
      <c r="F76" s="11" t="s">
        <v>613</v>
      </c>
      <c r="G76" s="11" t="s">
        <v>614</v>
      </c>
      <c r="H76" s="11" t="s">
        <v>615</v>
      </c>
      <c r="I76" s="11"/>
      <c r="J76" s="11" t="s">
        <v>616</v>
      </c>
      <c r="K76" s="9" t="s">
        <v>391</v>
      </c>
    </row>
    <row r="77" customFormat="false" ht="23.85" hidden="false" customHeight="false" outlineLevel="0" collapsed="false">
      <c r="A77" s="9" t="s">
        <v>10</v>
      </c>
      <c r="B77" s="9" t="s">
        <v>13</v>
      </c>
      <c r="C77" s="9" t="s">
        <v>206</v>
      </c>
      <c r="D77" s="9" t="s">
        <v>207</v>
      </c>
      <c r="E77" s="9" t="s">
        <v>386</v>
      </c>
      <c r="F77" s="11" t="s">
        <v>613</v>
      </c>
      <c r="G77" s="11" t="s">
        <v>617</v>
      </c>
      <c r="H77" s="11" t="s">
        <v>618</v>
      </c>
      <c r="I77" s="11"/>
      <c r="J77" s="11" t="s">
        <v>619</v>
      </c>
      <c r="K77" s="9" t="s">
        <v>391</v>
      </c>
    </row>
    <row r="78" customFormat="false" ht="57.45" hidden="false" customHeight="false" outlineLevel="0" collapsed="false">
      <c r="A78" s="9" t="s">
        <v>10</v>
      </c>
      <c r="B78" s="9" t="s">
        <v>13</v>
      </c>
      <c r="C78" s="9" t="s">
        <v>206</v>
      </c>
      <c r="D78" s="9" t="s">
        <v>207</v>
      </c>
      <c r="E78" s="9" t="s">
        <v>386</v>
      </c>
      <c r="F78" s="11" t="s">
        <v>396</v>
      </c>
      <c r="G78" s="11" t="s">
        <v>620</v>
      </c>
      <c r="H78" s="11" t="s">
        <v>621</v>
      </c>
      <c r="I78" s="11"/>
      <c r="J78" s="11" t="s">
        <v>622</v>
      </c>
      <c r="K78" s="9" t="s">
        <v>391</v>
      </c>
    </row>
    <row r="79" customFormat="false" ht="46.25" hidden="false" customHeight="false" outlineLevel="0" collapsed="false">
      <c r="A79" s="9" t="s">
        <v>10</v>
      </c>
      <c r="B79" s="9" t="s">
        <v>13</v>
      </c>
      <c r="C79" s="9" t="s">
        <v>52</v>
      </c>
      <c r="D79" s="9" t="s">
        <v>53</v>
      </c>
      <c r="E79" s="9" t="s">
        <v>386</v>
      </c>
      <c r="F79" s="11" t="s">
        <v>400</v>
      </c>
      <c r="G79" s="11" t="s">
        <v>623</v>
      </c>
      <c r="H79" s="11" t="s">
        <v>624</v>
      </c>
      <c r="I79" s="11"/>
      <c r="J79" s="11" t="s">
        <v>625</v>
      </c>
      <c r="K79" s="9" t="s">
        <v>391</v>
      </c>
    </row>
    <row r="80" customFormat="false" ht="35.05" hidden="false" customHeight="false" outlineLevel="0" collapsed="false">
      <c r="A80" s="9" t="s">
        <v>10</v>
      </c>
      <c r="B80" s="9" t="s">
        <v>13</v>
      </c>
      <c r="C80" s="9" t="s">
        <v>52</v>
      </c>
      <c r="D80" s="9" t="s">
        <v>53</v>
      </c>
      <c r="E80" s="9" t="s">
        <v>386</v>
      </c>
      <c r="F80" s="11" t="s">
        <v>392</v>
      </c>
      <c r="G80" s="11" t="s">
        <v>626</v>
      </c>
      <c r="H80" s="11" t="s">
        <v>627</v>
      </c>
      <c r="I80" s="11"/>
      <c r="J80" s="11" t="s">
        <v>628</v>
      </c>
      <c r="K80" s="9" t="s">
        <v>391</v>
      </c>
    </row>
    <row r="81" customFormat="false" ht="35.05" hidden="false" customHeight="false" outlineLevel="0" collapsed="false">
      <c r="A81" s="9" t="s">
        <v>10</v>
      </c>
      <c r="B81" s="9" t="s">
        <v>13</v>
      </c>
      <c r="C81" s="9" t="s">
        <v>52</v>
      </c>
      <c r="D81" s="9" t="s">
        <v>53</v>
      </c>
      <c r="E81" s="9" t="s">
        <v>386</v>
      </c>
      <c r="F81" s="11" t="s">
        <v>410</v>
      </c>
      <c r="G81" s="11" t="s">
        <v>629</v>
      </c>
      <c r="H81" s="11" t="s">
        <v>630</v>
      </c>
      <c r="I81" s="11"/>
      <c r="J81" s="11" t="s">
        <v>631</v>
      </c>
      <c r="K81" s="9" t="s">
        <v>391</v>
      </c>
    </row>
    <row r="82" customFormat="false" ht="35.05" hidden="false" customHeight="false" outlineLevel="0" collapsed="false">
      <c r="A82" s="9" t="s">
        <v>10</v>
      </c>
      <c r="B82" s="9" t="s">
        <v>13</v>
      </c>
      <c r="C82" s="9" t="s">
        <v>52</v>
      </c>
      <c r="D82" s="9" t="s">
        <v>53</v>
      </c>
      <c r="E82" s="9" t="s">
        <v>386</v>
      </c>
      <c r="F82" s="11" t="s">
        <v>410</v>
      </c>
      <c r="G82" s="11" t="s">
        <v>632</v>
      </c>
      <c r="H82" s="11" t="s">
        <v>633</v>
      </c>
      <c r="I82" s="11"/>
      <c r="J82" s="11" t="s">
        <v>631</v>
      </c>
      <c r="K82" s="9" t="s">
        <v>391</v>
      </c>
    </row>
    <row r="83" customFormat="false" ht="35.05" hidden="false" customHeight="false" outlineLevel="0" collapsed="false">
      <c r="A83" s="9" t="s">
        <v>10</v>
      </c>
      <c r="B83" s="9" t="s">
        <v>13</v>
      </c>
      <c r="C83" s="9" t="s">
        <v>52</v>
      </c>
      <c r="D83" s="9" t="s">
        <v>53</v>
      </c>
      <c r="E83" s="9" t="s">
        <v>386</v>
      </c>
      <c r="F83" s="11" t="s">
        <v>410</v>
      </c>
      <c r="G83" s="11" t="s">
        <v>634</v>
      </c>
      <c r="H83" s="11" t="s">
        <v>635</v>
      </c>
      <c r="I83" s="11"/>
      <c r="J83" s="11" t="s">
        <v>631</v>
      </c>
      <c r="K83" s="9" t="s">
        <v>391</v>
      </c>
    </row>
    <row r="84" customFormat="false" ht="46.25" hidden="false" customHeight="false" outlineLevel="0" collapsed="false">
      <c r="A84" s="9" t="s">
        <v>10</v>
      </c>
      <c r="B84" s="9" t="s">
        <v>13</v>
      </c>
      <c r="C84" s="9" t="s">
        <v>52</v>
      </c>
      <c r="D84" s="9" t="s">
        <v>53</v>
      </c>
      <c r="E84" s="9" t="s">
        <v>386</v>
      </c>
      <c r="F84" s="11" t="s">
        <v>410</v>
      </c>
      <c r="G84" s="11" t="s">
        <v>636</v>
      </c>
      <c r="H84" s="11" t="s">
        <v>637</v>
      </c>
      <c r="I84" s="11"/>
      <c r="J84" s="11" t="s">
        <v>631</v>
      </c>
      <c r="K84" s="9" t="s">
        <v>391</v>
      </c>
    </row>
    <row r="85" customFormat="false" ht="46.25" hidden="false" customHeight="false" outlineLevel="0" collapsed="false">
      <c r="A85" s="9" t="s">
        <v>10</v>
      </c>
      <c r="B85" s="9" t="s">
        <v>13</v>
      </c>
      <c r="C85" s="9" t="s">
        <v>52</v>
      </c>
      <c r="D85" s="9" t="s">
        <v>53</v>
      </c>
      <c r="E85" s="9" t="s">
        <v>386</v>
      </c>
      <c r="F85" s="11" t="s">
        <v>387</v>
      </c>
      <c r="G85" s="11" t="s">
        <v>638</v>
      </c>
      <c r="H85" s="11" t="s">
        <v>639</v>
      </c>
      <c r="I85" s="11"/>
      <c r="J85" s="11" t="s">
        <v>640</v>
      </c>
      <c r="K85" s="9" t="s">
        <v>391</v>
      </c>
    </row>
    <row r="86" customFormat="false" ht="46.25" hidden="false" customHeight="false" outlineLevel="0" collapsed="false">
      <c r="A86" s="9" t="s">
        <v>10</v>
      </c>
      <c r="B86" s="9" t="s">
        <v>13</v>
      </c>
      <c r="C86" s="9" t="s">
        <v>52</v>
      </c>
      <c r="D86" s="9" t="s">
        <v>53</v>
      </c>
      <c r="E86" s="9" t="s">
        <v>386</v>
      </c>
      <c r="F86" s="11" t="s">
        <v>392</v>
      </c>
      <c r="G86" s="11" t="s">
        <v>641</v>
      </c>
      <c r="H86" s="11" t="s">
        <v>642</v>
      </c>
      <c r="I86" s="11"/>
      <c r="J86" s="11" t="s">
        <v>643</v>
      </c>
      <c r="K86" s="9" t="s">
        <v>391</v>
      </c>
    </row>
    <row r="87" customFormat="false" ht="35.05" hidden="false" customHeight="false" outlineLevel="0" collapsed="false">
      <c r="A87" s="9" t="s">
        <v>10</v>
      </c>
      <c r="B87" s="9" t="s">
        <v>13</v>
      </c>
      <c r="C87" s="9" t="s">
        <v>52</v>
      </c>
      <c r="D87" s="9" t="s">
        <v>53</v>
      </c>
      <c r="E87" s="9" t="s">
        <v>386</v>
      </c>
      <c r="F87" s="11" t="s">
        <v>392</v>
      </c>
      <c r="G87" s="11" t="s">
        <v>644</v>
      </c>
      <c r="H87" s="11" t="s">
        <v>645</v>
      </c>
      <c r="I87" s="11"/>
      <c r="J87" s="11" t="s">
        <v>646</v>
      </c>
      <c r="K87" s="9" t="s">
        <v>391</v>
      </c>
    </row>
    <row r="88" customFormat="false" ht="57.45" hidden="false" customHeight="false" outlineLevel="0" collapsed="false">
      <c r="A88" s="9" t="s">
        <v>10</v>
      </c>
      <c r="B88" s="9" t="s">
        <v>13</v>
      </c>
      <c r="C88" s="9" t="s">
        <v>52</v>
      </c>
      <c r="D88" s="9" t="s">
        <v>53</v>
      </c>
      <c r="E88" s="9" t="s">
        <v>386</v>
      </c>
      <c r="F88" s="11" t="s">
        <v>392</v>
      </c>
      <c r="G88" s="11" t="s">
        <v>647</v>
      </c>
      <c r="H88" s="11" t="s">
        <v>648</v>
      </c>
      <c r="I88" s="11"/>
      <c r="J88" s="11" t="s">
        <v>649</v>
      </c>
      <c r="K88" s="9" t="s">
        <v>391</v>
      </c>
    </row>
    <row r="89" customFormat="false" ht="57.45" hidden="false" customHeight="false" outlineLevel="0" collapsed="false">
      <c r="A89" s="9" t="s">
        <v>10</v>
      </c>
      <c r="B89" s="9" t="s">
        <v>13</v>
      </c>
      <c r="C89" s="9" t="s">
        <v>52</v>
      </c>
      <c r="D89" s="9" t="s">
        <v>53</v>
      </c>
      <c r="E89" s="9" t="s">
        <v>465</v>
      </c>
      <c r="F89" s="11" t="s">
        <v>466</v>
      </c>
      <c r="G89" s="11" t="s">
        <v>650</v>
      </c>
      <c r="H89" s="11" t="s">
        <v>651</v>
      </c>
      <c r="I89" s="11"/>
      <c r="J89" s="11" t="s">
        <v>652</v>
      </c>
      <c r="K89" s="9" t="s">
        <v>391</v>
      </c>
    </row>
    <row r="90" customFormat="false" ht="46.25" hidden="false" customHeight="false" outlineLevel="0" collapsed="false">
      <c r="A90" s="9" t="s">
        <v>10</v>
      </c>
      <c r="B90" s="9" t="s">
        <v>13</v>
      </c>
      <c r="C90" s="9" t="s">
        <v>49</v>
      </c>
      <c r="D90" s="9" t="s">
        <v>50</v>
      </c>
      <c r="E90" s="9" t="s">
        <v>386</v>
      </c>
      <c r="F90" s="11" t="s">
        <v>387</v>
      </c>
      <c r="G90" s="11" t="s">
        <v>653</v>
      </c>
      <c r="H90" s="11" t="s">
        <v>654</v>
      </c>
      <c r="I90" s="11"/>
      <c r="J90" s="11" t="s">
        <v>655</v>
      </c>
      <c r="K90" s="9" t="s">
        <v>391</v>
      </c>
    </row>
    <row r="91" customFormat="false" ht="35.05" hidden="false" customHeight="false" outlineLevel="0" collapsed="false">
      <c r="A91" s="9" t="s">
        <v>10</v>
      </c>
      <c r="B91" s="9" t="s">
        <v>13</v>
      </c>
      <c r="C91" s="9" t="s">
        <v>49</v>
      </c>
      <c r="D91" s="9" t="s">
        <v>50</v>
      </c>
      <c r="E91" s="9" t="s">
        <v>386</v>
      </c>
      <c r="F91" s="11" t="s">
        <v>400</v>
      </c>
      <c r="G91" s="11" t="s">
        <v>656</v>
      </c>
      <c r="H91" s="11" t="s">
        <v>657</v>
      </c>
      <c r="I91" s="11"/>
      <c r="J91" s="11" t="s">
        <v>658</v>
      </c>
      <c r="K91" s="9" t="s">
        <v>391</v>
      </c>
    </row>
    <row r="92" customFormat="false" ht="35.05" hidden="false" customHeight="false" outlineLevel="0" collapsed="false">
      <c r="A92" s="9" t="s">
        <v>10</v>
      </c>
      <c r="B92" s="9" t="s">
        <v>13</v>
      </c>
      <c r="C92" s="9" t="s">
        <v>49</v>
      </c>
      <c r="D92" s="9" t="s">
        <v>50</v>
      </c>
      <c r="E92" s="9" t="s">
        <v>386</v>
      </c>
      <c r="F92" s="11" t="s">
        <v>400</v>
      </c>
      <c r="G92" s="11" t="s">
        <v>659</v>
      </c>
      <c r="H92" s="11" t="s">
        <v>660</v>
      </c>
      <c r="I92" s="11"/>
      <c r="J92" s="11" t="s">
        <v>658</v>
      </c>
      <c r="K92" s="9" t="s">
        <v>391</v>
      </c>
    </row>
    <row r="93" customFormat="false" ht="46.25" hidden="false" customHeight="false" outlineLevel="0" collapsed="false">
      <c r="A93" s="9" t="s">
        <v>10</v>
      </c>
      <c r="B93" s="9" t="s">
        <v>13</v>
      </c>
      <c r="C93" s="9" t="s">
        <v>49</v>
      </c>
      <c r="D93" s="9" t="s">
        <v>50</v>
      </c>
      <c r="E93" s="9" t="s">
        <v>386</v>
      </c>
      <c r="F93" s="11" t="s">
        <v>400</v>
      </c>
      <c r="G93" s="11" t="s">
        <v>661</v>
      </c>
      <c r="H93" s="11" t="s">
        <v>662</v>
      </c>
      <c r="I93" s="11"/>
      <c r="J93" s="11" t="s">
        <v>663</v>
      </c>
      <c r="K93" s="9" t="s">
        <v>391</v>
      </c>
    </row>
    <row r="94" customFormat="false" ht="35.05" hidden="false" customHeight="false" outlineLevel="0" collapsed="false">
      <c r="A94" s="9" t="s">
        <v>10</v>
      </c>
      <c r="B94" s="9" t="s">
        <v>13</v>
      </c>
      <c r="C94" s="9" t="s">
        <v>49</v>
      </c>
      <c r="D94" s="9" t="s">
        <v>50</v>
      </c>
      <c r="E94" s="9" t="s">
        <v>386</v>
      </c>
      <c r="F94" s="11" t="s">
        <v>392</v>
      </c>
      <c r="G94" s="11" t="s">
        <v>664</v>
      </c>
      <c r="H94" s="11" t="s">
        <v>665</v>
      </c>
      <c r="I94" s="11"/>
      <c r="J94" s="11" t="s">
        <v>658</v>
      </c>
      <c r="K94" s="9" t="s">
        <v>391</v>
      </c>
    </row>
    <row r="95" customFormat="false" ht="35.05" hidden="false" customHeight="false" outlineLevel="0" collapsed="false">
      <c r="A95" s="9" t="s">
        <v>10</v>
      </c>
      <c r="B95" s="9" t="s">
        <v>13</v>
      </c>
      <c r="C95" s="9" t="s">
        <v>49</v>
      </c>
      <c r="D95" s="9" t="s">
        <v>50</v>
      </c>
      <c r="E95" s="9" t="s">
        <v>386</v>
      </c>
      <c r="F95" s="11" t="s">
        <v>666</v>
      </c>
      <c r="G95" s="11" t="s">
        <v>667</v>
      </c>
      <c r="H95" s="11" t="s">
        <v>668</v>
      </c>
      <c r="I95" s="11"/>
      <c r="J95" s="11" t="s">
        <v>658</v>
      </c>
      <c r="K95" s="9" t="s">
        <v>391</v>
      </c>
    </row>
    <row r="96" customFormat="false" ht="46.25" hidden="false" customHeight="false" outlineLevel="0" collapsed="false">
      <c r="A96" s="9" t="s">
        <v>10</v>
      </c>
      <c r="B96" s="9" t="s">
        <v>13</v>
      </c>
      <c r="C96" s="9" t="s">
        <v>49</v>
      </c>
      <c r="D96" s="9" t="s">
        <v>50</v>
      </c>
      <c r="E96" s="9" t="s">
        <v>386</v>
      </c>
      <c r="F96" s="11" t="s">
        <v>392</v>
      </c>
      <c r="G96" s="11" t="s">
        <v>669</v>
      </c>
      <c r="H96" s="11" t="s">
        <v>670</v>
      </c>
      <c r="I96" s="11"/>
      <c r="J96" s="11" t="s">
        <v>658</v>
      </c>
      <c r="K96" s="9" t="s">
        <v>391</v>
      </c>
    </row>
    <row r="97" customFormat="false" ht="35.05" hidden="false" customHeight="false" outlineLevel="0" collapsed="false">
      <c r="A97" s="9" t="s">
        <v>10</v>
      </c>
      <c r="B97" s="9" t="s">
        <v>13</v>
      </c>
      <c r="C97" s="9" t="s">
        <v>49</v>
      </c>
      <c r="D97" s="9" t="s">
        <v>50</v>
      </c>
      <c r="E97" s="9" t="s">
        <v>386</v>
      </c>
      <c r="F97" s="11" t="s">
        <v>396</v>
      </c>
      <c r="G97" s="11" t="s">
        <v>671</v>
      </c>
      <c r="H97" s="11" t="s">
        <v>672</v>
      </c>
      <c r="I97" s="11"/>
      <c r="J97" s="11" t="s">
        <v>658</v>
      </c>
      <c r="K97" s="9" t="s">
        <v>391</v>
      </c>
    </row>
    <row r="98" customFormat="false" ht="46.25" hidden="false" customHeight="false" outlineLevel="0" collapsed="false">
      <c r="A98" s="9" t="s">
        <v>10</v>
      </c>
      <c r="B98" s="9" t="s">
        <v>13</v>
      </c>
      <c r="C98" s="9" t="s">
        <v>49</v>
      </c>
      <c r="D98" s="9" t="s">
        <v>50</v>
      </c>
      <c r="E98" s="9" t="s">
        <v>386</v>
      </c>
      <c r="F98" s="11" t="s">
        <v>613</v>
      </c>
      <c r="G98" s="11" t="s">
        <v>673</v>
      </c>
      <c r="H98" s="11" t="s">
        <v>674</v>
      </c>
      <c r="I98" s="11"/>
      <c r="J98" s="11" t="s">
        <v>675</v>
      </c>
      <c r="K98" s="9" t="s">
        <v>391</v>
      </c>
    </row>
    <row r="99" customFormat="false" ht="46.25" hidden="false" customHeight="false" outlineLevel="0" collapsed="false">
      <c r="A99" s="9" t="s">
        <v>10</v>
      </c>
      <c r="B99" s="9" t="s">
        <v>13</v>
      </c>
      <c r="C99" s="9" t="s">
        <v>46</v>
      </c>
      <c r="D99" s="9" t="s">
        <v>47</v>
      </c>
      <c r="E99" s="9" t="s">
        <v>386</v>
      </c>
      <c r="F99" s="11" t="s">
        <v>410</v>
      </c>
      <c r="G99" s="11" t="s">
        <v>676</v>
      </c>
      <c r="H99" s="11" t="s">
        <v>677</v>
      </c>
      <c r="I99" s="11"/>
      <c r="J99" s="11" t="s">
        <v>678</v>
      </c>
      <c r="K99" s="9" t="s">
        <v>391</v>
      </c>
    </row>
    <row r="100" customFormat="false" ht="46.25" hidden="false" customHeight="false" outlineLevel="0" collapsed="false">
      <c r="A100" s="9" t="s">
        <v>10</v>
      </c>
      <c r="B100" s="9" t="s">
        <v>13</v>
      </c>
      <c r="C100" s="9" t="s">
        <v>46</v>
      </c>
      <c r="D100" s="9" t="s">
        <v>47</v>
      </c>
      <c r="E100" s="9" t="s">
        <v>386</v>
      </c>
      <c r="F100" s="11" t="s">
        <v>448</v>
      </c>
      <c r="G100" s="11" t="s">
        <v>679</v>
      </c>
      <c r="H100" s="11" t="s">
        <v>680</v>
      </c>
      <c r="I100" s="11"/>
      <c r="J100" s="11" t="s">
        <v>681</v>
      </c>
      <c r="K100" s="9" t="s">
        <v>391</v>
      </c>
    </row>
    <row r="101" customFormat="false" ht="35.05" hidden="false" customHeight="false" outlineLevel="0" collapsed="false">
      <c r="A101" s="9" t="s">
        <v>10</v>
      </c>
      <c r="B101" s="9" t="s">
        <v>13</v>
      </c>
      <c r="C101" s="9" t="s">
        <v>46</v>
      </c>
      <c r="D101" s="9" t="s">
        <v>47</v>
      </c>
      <c r="E101" s="9" t="s">
        <v>386</v>
      </c>
      <c r="F101" s="11" t="s">
        <v>400</v>
      </c>
      <c r="G101" s="11" t="s">
        <v>682</v>
      </c>
      <c r="H101" s="11" t="s">
        <v>683</v>
      </c>
      <c r="I101" s="11"/>
      <c r="J101" s="11" t="s">
        <v>684</v>
      </c>
      <c r="K101" s="9" t="s">
        <v>391</v>
      </c>
    </row>
    <row r="102" customFormat="false" ht="46.25" hidden="false" customHeight="false" outlineLevel="0" collapsed="false">
      <c r="A102" s="9" t="s">
        <v>10</v>
      </c>
      <c r="B102" s="9" t="s">
        <v>13</v>
      </c>
      <c r="C102" s="9" t="s">
        <v>46</v>
      </c>
      <c r="D102" s="9" t="s">
        <v>47</v>
      </c>
      <c r="E102" s="9" t="s">
        <v>386</v>
      </c>
      <c r="F102" s="11" t="s">
        <v>392</v>
      </c>
      <c r="G102" s="11" t="s">
        <v>685</v>
      </c>
      <c r="H102" s="11" t="s">
        <v>686</v>
      </c>
      <c r="I102" s="11"/>
      <c r="J102" s="11" t="s">
        <v>687</v>
      </c>
      <c r="K102" s="9" t="s">
        <v>391</v>
      </c>
    </row>
    <row r="103" customFormat="false" ht="46.25" hidden="false" customHeight="false" outlineLevel="0" collapsed="false">
      <c r="A103" s="9" t="s">
        <v>10</v>
      </c>
      <c r="B103" s="9" t="s">
        <v>13</v>
      </c>
      <c r="C103" s="9" t="s">
        <v>46</v>
      </c>
      <c r="D103" s="9" t="s">
        <v>47</v>
      </c>
      <c r="E103" s="9" t="s">
        <v>386</v>
      </c>
      <c r="F103" s="11" t="s">
        <v>392</v>
      </c>
      <c r="G103" s="11" t="s">
        <v>688</v>
      </c>
      <c r="H103" s="11" t="s">
        <v>689</v>
      </c>
      <c r="I103" s="11"/>
      <c r="J103" s="11" t="s">
        <v>690</v>
      </c>
      <c r="K103" s="9" t="s">
        <v>391</v>
      </c>
    </row>
    <row r="104" customFormat="false" ht="46.25" hidden="false" customHeight="false" outlineLevel="0" collapsed="false">
      <c r="A104" s="9" t="s">
        <v>10</v>
      </c>
      <c r="B104" s="9" t="s">
        <v>13</v>
      </c>
      <c r="C104" s="9" t="s">
        <v>46</v>
      </c>
      <c r="D104" s="9" t="s">
        <v>47</v>
      </c>
      <c r="E104" s="9" t="s">
        <v>386</v>
      </c>
      <c r="F104" s="11" t="s">
        <v>392</v>
      </c>
      <c r="G104" s="11" t="s">
        <v>691</v>
      </c>
      <c r="H104" s="11" t="s">
        <v>692</v>
      </c>
      <c r="I104" s="11"/>
      <c r="J104" s="11" t="s">
        <v>693</v>
      </c>
      <c r="K104" s="9" t="s">
        <v>391</v>
      </c>
    </row>
    <row r="105" customFormat="false" ht="79.85" hidden="false" customHeight="false" outlineLevel="0" collapsed="false">
      <c r="A105" s="9" t="s">
        <v>10</v>
      </c>
      <c r="B105" s="9" t="s">
        <v>13</v>
      </c>
      <c r="C105" s="9" t="s">
        <v>46</v>
      </c>
      <c r="D105" s="9" t="s">
        <v>47</v>
      </c>
      <c r="E105" s="9" t="s">
        <v>465</v>
      </c>
      <c r="F105" s="11" t="s">
        <v>466</v>
      </c>
      <c r="G105" s="11" t="s">
        <v>694</v>
      </c>
      <c r="H105" s="11" t="s">
        <v>695</v>
      </c>
      <c r="I105" s="11"/>
      <c r="J105" s="11" t="s">
        <v>696</v>
      </c>
      <c r="K105" s="9" t="s">
        <v>391</v>
      </c>
    </row>
    <row r="106" customFormat="false" ht="46.25" hidden="false" customHeight="false" outlineLevel="0" collapsed="false">
      <c r="A106" s="9" t="s">
        <v>14</v>
      </c>
      <c r="B106" s="9" t="s">
        <v>12</v>
      </c>
      <c r="C106" s="9" t="s">
        <v>58</v>
      </c>
      <c r="D106" s="9" t="s">
        <v>59</v>
      </c>
      <c r="E106" s="9" t="s">
        <v>386</v>
      </c>
      <c r="F106" s="11" t="s">
        <v>697</v>
      </c>
      <c r="G106" s="11" t="s">
        <v>698</v>
      </c>
      <c r="H106" s="11" t="s">
        <v>699</v>
      </c>
      <c r="I106" s="11"/>
      <c r="J106" s="11" t="s">
        <v>700</v>
      </c>
      <c r="K106" s="9" t="s">
        <v>391</v>
      </c>
    </row>
    <row r="107" customFormat="false" ht="46.25" hidden="false" customHeight="false" outlineLevel="0" collapsed="false">
      <c r="A107" s="9" t="s">
        <v>14</v>
      </c>
      <c r="B107" s="9" t="s">
        <v>12</v>
      </c>
      <c r="C107" s="9" t="s">
        <v>58</v>
      </c>
      <c r="D107" s="9" t="s">
        <v>59</v>
      </c>
      <c r="E107" s="9" t="s">
        <v>386</v>
      </c>
      <c r="F107" s="11" t="s">
        <v>387</v>
      </c>
      <c r="G107" s="11" t="s">
        <v>701</v>
      </c>
      <c r="H107" s="11" t="s">
        <v>702</v>
      </c>
      <c r="I107" s="11"/>
      <c r="J107" s="11" t="s">
        <v>703</v>
      </c>
      <c r="K107" s="9" t="s">
        <v>391</v>
      </c>
    </row>
    <row r="108" customFormat="false" ht="57.45" hidden="false" customHeight="false" outlineLevel="0" collapsed="false">
      <c r="A108" s="9" t="s">
        <v>14</v>
      </c>
      <c r="B108" s="9" t="s">
        <v>12</v>
      </c>
      <c r="C108" s="9" t="s">
        <v>58</v>
      </c>
      <c r="D108" s="9" t="s">
        <v>59</v>
      </c>
      <c r="E108" s="9" t="s">
        <v>386</v>
      </c>
      <c r="F108" s="11" t="s">
        <v>400</v>
      </c>
      <c r="G108" s="11" t="s">
        <v>704</v>
      </c>
      <c r="H108" s="11" t="s">
        <v>705</v>
      </c>
      <c r="I108" s="11"/>
      <c r="J108" s="11" t="s">
        <v>706</v>
      </c>
      <c r="K108" s="9" t="s">
        <v>391</v>
      </c>
    </row>
    <row r="109" customFormat="false" ht="57.45" hidden="false" customHeight="false" outlineLevel="0" collapsed="false">
      <c r="A109" s="9" t="s">
        <v>14</v>
      </c>
      <c r="B109" s="9" t="s">
        <v>12</v>
      </c>
      <c r="C109" s="9" t="s">
        <v>58</v>
      </c>
      <c r="D109" s="9" t="s">
        <v>59</v>
      </c>
      <c r="E109" s="9" t="s">
        <v>386</v>
      </c>
      <c r="F109" s="11" t="s">
        <v>392</v>
      </c>
      <c r="G109" s="11" t="s">
        <v>707</v>
      </c>
      <c r="H109" s="11" t="s">
        <v>708</v>
      </c>
      <c r="I109" s="11"/>
      <c r="J109" s="11" t="s">
        <v>709</v>
      </c>
      <c r="K109" s="9" t="s">
        <v>391</v>
      </c>
    </row>
    <row r="110" customFormat="false" ht="57.45" hidden="false" customHeight="false" outlineLevel="0" collapsed="false">
      <c r="A110" s="9" t="s">
        <v>14</v>
      </c>
      <c r="B110" s="9" t="s">
        <v>12</v>
      </c>
      <c r="C110" s="9" t="s">
        <v>58</v>
      </c>
      <c r="D110" s="9" t="s">
        <v>59</v>
      </c>
      <c r="E110" s="9" t="s">
        <v>386</v>
      </c>
      <c r="F110" s="11" t="s">
        <v>392</v>
      </c>
      <c r="G110" s="11" t="s">
        <v>710</v>
      </c>
      <c r="H110" s="11" t="s">
        <v>711</v>
      </c>
      <c r="I110" s="11"/>
      <c r="J110" s="11" t="s">
        <v>709</v>
      </c>
      <c r="K110" s="9" t="s">
        <v>391</v>
      </c>
    </row>
    <row r="111" customFormat="false" ht="46.25" hidden="false" customHeight="false" outlineLevel="0" collapsed="false">
      <c r="A111" s="9" t="s">
        <v>14</v>
      </c>
      <c r="B111" s="9" t="s">
        <v>12</v>
      </c>
      <c r="C111" s="9" t="s">
        <v>58</v>
      </c>
      <c r="D111" s="9" t="s">
        <v>59</v>
      </c>
      <c r="E111" s="9" t="s">
        <v>386</v>
      </c>
      <c r="F111" s="11" t="s">
        <v>419</v>
      </c>
      <c r="G111" s="11" t="s">
        <v>712</v>
      </c>
      <c r="H111" s="11" t="s">
        <v>713</v>
      </c>
      <c r="I111" s="11"/>
      <c r="J111" s="11" t="s">
        <v>714</v>
      </c>
      <c r="K111" s="9" t="s">
        <v>391</v>
      </c>
    </row>
    <row r="112" customFormat="false" ht="23.85" hidden="false" customHeight="false" outlineLevel="0" collapsed="false">
      <c r="A112" s="9" t="s">
        <v>14</v>
      </c>
      <c r="B112" s="9" t="s">
        <v>12</v>
      </c>
      <c r="C112" s="9" t="s">
        <v>58</v>
      </c>
      <c r="D112" s="9" t="s">
        <v>59</v>
      </c>
      <c r="E112" s="9" t="s">
        <v>386</v>
      </c>
      <c r="F112" s="11" t="s">
        <v>715</v>
      </c>
      <c r="G112" s="11" t="s">
        <v>716</v>
      </c>
      <c r="H112" s="11" t="s">
        <v>717</v>
      </c>
      <c r="I112" s="11"/>
      <c r="J112" s="11" t="s">
        <v>718</v>
      </c>
      <c r="K112" s="9" t="s">
        <v>391</v>
      </c>
    </row>
    <row r="113" customFormat="false" ht="57.45" hidden="false" customHeight="false" outlineLevel="0" collapsed="false">
      <c r="A113" s="9" t="s">
        <v>14</v>
      </c>
      <c r="B113" s="9" t="s">
        <v>12</v>
      </c>
      <c r="C113" s="9" t="s">
        <v>58</v>
      </c>
      <c r="D113" s="9" t="s">
        <v>59</v>
      </c>
      <c r="E113" s="9" t="s">
        <v>386</v>
      </c>
      <c r="F113" s="11" t="s">
        <v>396</v>
      </c>
      <c r="G113" s="11" t="s">
        <v>719</v>
      </c>
      <c r="H113" s="11" t="s">
        <v>720</v>
      </c>
      <c r="I113" s="11"/>
      <c r="J113" s="11" t="s">
        <v>721</v>
      </c>
      <c r="K113" s="9" t="s">
        <v>391</v>
      </c>
    </row>
    <row r="114" customFormat="false" ht="46.25" hidden="false" customHeight="false" outlineLevel="0" collapsed="false">
      <c r="A114" s="9" t="s">
        <v>14</v>
      </c>
      <c r="B114" s="9" t="s">
        <v>12</v>
      </c>
      <c r="C114" s="9" t="s">
        <v>55</v>
      </c>
      <c r="D114" s="9" t="s">
        <v>56</v>
      </c>
      <c r="E114" s="9" t="s">
        <v>386</v>
      </c>
      <c r="F114" s="11" t="s">
        <v>722</v>
      </c>
      <c r="G114" s="11" t="s">
        <v>723</v>
      </c>
      <c r="H114" s="11" t="s">
        <v>724</v>
      </c>
      <c r="I114" s="11"/>
      <c r="J114" s="11" t="s">
        <v>725</v>
      </c>
      <c r="K114" s="9" t="s">
        <v>391</v>
      </c>
    </row>
    <row r="115" customFormat="false" ht="46.25" hidden="false" customHeight="false" outlineLevel="0" collapsed="false">
      <c r="A115" s="9" t="s">
        <v>14</v>
      </c>
      <c r="B115" s="9" t="s">
        <v>12</v>
      </c>
      <c r="C115" s="9" t="s">
        <v>55</v>
      </c>
      <c r="D115" s="9" t="s">
        <v>56</v>
      </c>
      <c r="E115" s="9" t="s">
        <v>386</v>
      </c>
      <c r="F115" s="11" t="s">
        <v>697</v>
      </c>
      <c r="G115" s="11" t="s">
        <v>726</v>
      </c>
      <c r="H115" s="11" t="s">
        <v>727</v>
      </c>
      <c r="I115" s="11"/>
      <c r="J115" s="11" t="s">
        <v>728</v>
      </c>
      <c r="K115" s="9" t="s">
        <v>391</v>
      </c>
    </row>
    <row r="116" customFormat="false" ht="46.25" hidden="false" customHeight="false" outlineLevel="0" collapsed="false">
      <c r="A116" s="9" t="s">
        <v>14</v>
      </c>
      <c r="B116" s="9" t="s">
        <v>12</v>
      </c>
      <c r="C116" s="9" t="s">
        <v>55</v>
      </c>
      <c r="D116" s="9" t="s">
        <v>56</v>
      </c>
      <c r="E116" s="9" t="s">
        <v>386</v>
      </c>
      <c r="F116" s="11" t="s">
        <v>419</v>
      </c>
      <c r="G116" s="11" t="s">
        <v>729</v>
      </c>
      <c r="H116" s="11" t="s">
        <v>730</v>
      </c>
      <c r="I116" s="11"/>
      <c r="J116" s="11" t="s">
        <v>731</v>
      </c>
      <c r="K116" s="9" t="s">
        <v>391</v>
      </c>
    </row>
    <row r="117" customFormat="false" ht="46.25" hidden="false" customHeight="false" outlineLevel="0" collapsed="false">
      <c r="A117" s="9" t="s">
        <v>14</v>
      </c>
      <c r="B117" s="9" t="s">
        <v>12</v>
      </c>
      <c r="C117" s="9" t="s">
        <v>55</v>
      </c>
      <c r="D117" s="9" t="s">
        <v>56</v>
      </c>
      <c r="E117" s="9" t="s">
        <v>386</v>
      </c>
      <c r="F117" s="11" t="s">
        <v>387</v>
      </c>
      <c r="G117" s="11" t="s">
        <v>732</v>
      </c>
      <c r="H117" s="11" t="s">
        <v>733</v>
      </c>
      <c r="I117" s="11"/>
      <c r="J117" s="11" t="s">
        <v>734</v>
      </c>
      <c r="K117" s="9" t="s">
        <v>391</v>
      </c>
    </row>
    <row r="118" customFormat="false" ht="46.25" hidden="false" customHeight="false" outlineLevel="0" collapsed="false">
      <c r="A118" s="9" t="s">
        <v>14</v>
      </c>
      <c r="B118" s="9" t="s">
        <v>12</v>
      </c>
      <c r="C118" s="9" t="s">
        <v>55</v>
      </c>
      <c r="D118" s="9" t="s">
        <v>56</v>
      </c>
      <c r="E118" s="9" t="s">
        <v>386</v>
      </c>
      <c r="F118" s="11" t="s">
        <v>387</v>
      </c>
      <c r="G118" s="11" t="s">
        <v>735</v>
      </c>
      <c r="H118" s="11" t="s">
        <v>736</v>
      </c>
      <c r="I118" s="11"/>
      <c r="J118" s="11" t="s">
        <v>737</v>
      </c>
      <c r="K118" s="9" t="s">
        <v>391</v>
      </c>
    </row>
    <row r="119" customFormat="false" ht="46.25" hidden="false" customHeight="false" outlineLevel="0" collapsed="false">
      <c r="A119" s="9" t="s">
        <v>14</v>
      </c>
      <c r="B119" s="9" t="s">
        <v>12</v>
      </c>
      <c r="C119" s="9" t="s">
        <v>55</v>
      </c>
      <c r="D119" s="9" t="s">
        <v>56</v>
      </c>
      <c r="E119" s="9" t="s">
        <v>386</v>
      </c>
      <c r="F119" s="11" t="s">
        <v>387</v>
      </c>
      <c r="G119" s="11" t="s">
        <v>738</v>
      </c>
      <c r="H119" s="11" t="s">
        <v>739</v>
      </c>
      <c r="I119" s="11"/>
      <c r="J119" s="11" t="s">
        <v>740</v>
      </c>
      <c r="K119" s="9" t="s">
        <v>391</v>
      </c>
    </row>
    <row r="120" customFormat="false" ht="35.05" hidden="false" customHeight="false" outlineLevel="0" collapsed="false">
      <c r="A120" s="9" t="s">
        <v>14</v>
      </c>
      <c r="B120" s="9" t="s">
        <v>12</v>
      </c>
      <c r="C120" s="9" t="s">
        <v>55</v>
      </c>
      <c r="D120" s="9" t="s">
        <v>56</v>
      </c>
      <c r="E120" s="9" t="s">
        <v>386</v>
      </c>
      <c r="F120" s="11" t="s">
        <v>410</v>
      </c>
      <c r="G120" s="11" t="s">
        <v>741</v>
      </c>
      <c r="H120" s="11" t="s">
        <v>742</v>
      </c>
      <c r="I120" s="11"/>
      <c r="J120" s="11" t="s">
        <v>743</v>
      </c>
      <c r="K120" s="9" t="s">
        <v>391</v>
      </c>
    </row>
    <row r="121" customFormat="false" ht="46.25" hidden="false" customHeight="false" outlineLevel="0" collapsed="false">
      <c r="A121" s="9" t="s">
        <v>14</v>
      </c>
      <c r="B121" s="9" t="s">
        <v>12</v>
      </c>
      <c r="C121" s="9" t="s">
        <v>55</v>
      </c>
      <c r="D121" s="9" t="s">
        <v>56</v>
      </c>
      <c r="E121" s="9" t="s">
        <v>386</v>
      </c>
      <c r="F121" s="11" t="s">
        <v>400</v>
      </c>
      <c r="G121" s="11" t="s">
        <v>744</v>
      </c>
      <c r="H121" s="11" t="s">
        <v>745</v>
      </c>
      <c r="I121" s="11"/>
      <c r="J121" s="11" t="s">
        <v>746</v>
      </c>
      <c r="K121" s="9" t="s">
        <v>391</v>
      </c>
    </row>
    <row r="122" customFormat="false" ht="46.25" hidden="false" customHeight="false" outlineLevel="0" collapsed="false">
      <c r="A122" s="9" t="s">
        <v>14</v>
      </c>
      <c r="B122" s="9" t="s">
        <v>12</v>
      </c>
      <c r="C122" s="9" t="s">
        <v>55</v>
      </c>
      <c r="D122" s="9" t="s">
        <v>56</v>
      </c>
      <c r="E122" s="9" t="s">
        <v>386</v>
      </c>
      <c r="F122" s="11" t="s">
        <v>392</v>
      </c>
      <c r="G122" s="11" t="s">
        <v>747</v>
      </c>
      <c r="H122" s="11" t="s">
        <v>748</v>
      </c>
      <c r="I122" s="11"/>
      <c r="J122" s="11" t="s">
        <v>749</v>
      </c>
      <c r="K122" s="9" t="s">
        <v>391</v>
      </c>
    </row>
    <row r="123" customFormat="false" ht="46.25" hidden="false" customHeight="false" outlineLevel="0" collapsed="false">
      <c r="A123" s="9" t="s">
        <v>14</v>
      </c>
      <c r="B123" s="9" t="s">
        <v>12</v>
      </c>
      <c r="C123" s="9" t="s">
        <v>55</v>
      </c>
      <c r="D123" s="9" t="s">
        <v>56</v>
      </c>
      <c r="E123" s="9" t="s">
        <v>386</v>
      </c>
      <c r="F123" s="11" t="s">
        <v>392</v>
      </c>
      <c r="G123" s="11" t="s">
        <v>750</v>
      </c>
      <c r="H123" s="11" t="s">
        <v>751</v>
      </c>
      <c r="I123" s="11"/>
      <c r="J123" s="11" t="s">
        <v>749</v>
      </c>
      <c r="K123" s="9" t="s">
        <v>391</v>
      </c>
    </row>
    <row r="124" customFormat="false" ht="35.05" hidden="false" customHeight="false" outlineLevel="0" collapsed="false">
      <c r="A124" s="9" t="s">
        <v>14</v>
      </c>
      <c r="B124" s="9" t="s">
        <v>12</v>
      </c>
      <c r="C124" s="9" t="s">
        <v>55</v>
      </c>
      <c r="D124" s="9" t="s">
        <v>56</v>
      </c>
      <c r="E124" s="9" t="s">
        <v>386</v>
      </c>
      <c r="F124" s="11" t="s">
        <v>666</v>
      </c>
      <c r="G124" s="11" t="s">
        <v>752</v>
      </c>
      <c r="H124" s="11" t="s">
        <v>753</v>
      </c>
      <c r="I124" s="11"/>
      <c r="J124" s="11" t="s">
        <v>754</v>
      </c>
      <c r="K124" s="9" t="s">
        <v>391</v>
      </c>
    </row>
    <row r="125" customFormat="false" ht="79.85" hidden="false" customHeight="false" outlineLevel="0" collapsed="false">
      <c r="A125" s="9" t="s">
        <v>14</v>
      </c>
      <c r="B125" s="9" t="s">
        <v>12</v>
      </c>
      <c r="C125" s="9" t="s">
        <v>55</v>
      </c>
      <c r="D125" s="9" t="s">
        <v>56</v>
      </c>
      <c r="E125" s="9" t="s">
        <v>465</v>
      </c>
      <c r="F125" s="11" t="s">
        <v>466</v>
      </c>
      <c r="G125" s="11" t="s">
        <v>755</v>
      </c>
      <c r="H125" s="11" t="s">
        <v>756</v>
      </c>
      <c r="I125" s="11"/>
      <c r="J125" s="11" t="s">
        <v>757</v>
      </c>
      <c r="K125" s="9" t="s">
        <v>391</v>
      </c>
    </row>
    <row r="126" customFormat="false" ht="35.05" hidden="false" customHeight="false" outlineLevel="0" collapsed="false">
      <c r="A126" s="9" t="s">
        <v>14</v>
      </c>
      <c r="B126" s="9" t="s">
        <v>12</v>
      </c>
      <c r="C126" s="9" t="s">
        <v>225</v>
      </c>
      <c r="D126" s="9" t="s">
        <v>226</v>
      </c>
      <c r="E126" s="9" t="s">
        <v>386</v>
      </c>
      <c r="F126" s="11" t="s">
        <v>400</v>
      </c>
      <c r="G126" s="11" t="s">
        <v>758</v>
      </c>
      <c r="H126" s="11" t="s">
        <v>759</v>
      </c>
      <c r="I126" s="11"/>
      <c r="J126" s="11" t="s">
        <v>760</v>
      </c>
      <c r="K126" s="9" t="s">
        <v>391</v>
      </c>
    </row>
    <row r="127" customFormat="false" ht="46.25" hidden="false" customHeight="false" outlineLevel="0" collapsed="false">
      <c r="A127" s="9" t="s">
        <v>14</v>
      </c>
      <c r="B127" s="9" t="s">
        <v>12</v>
      </c>
      <c r="C127" s="9" t="s">
        <v>225</v>
      </c>
      <c r="D127" s="9" t="s">
        <v>226</v>
      </c>
      <c r="E127" s="9" t="s">
        <v>386</v>
      </c>
      <c r="F127" s="11" t="s">
        <v>410</v>
      </c>
      <c r="G127" s="11" t="s">
        <v>761</v>
      </c>
      <c r="H127" s="11" t="s">
        <v>762</v>
      </c>
      <c r="I127" s="11"/>
      <c r="J127" s="11" t="s">
        <v>763</v>
      </c>
      <c r="K127" s="9" t="s">
        <v>391</v>
      </c>
    </row>
    <row r="128" customFormat="false" ht="46.25" hidden="false" customHeight="false" outlineLevel="0" collapsed="false">
      <c r="A128" s="9" t="s">
        <v>14</v>
      </c>
      <c r="B128" s="9" t="s">
        <v>12</v>
      </c>
      <c r="C128" s="9" t="s">
        <v>225</v>
      </c>
      <c r="D128" s="9" t="s">
        <v>226</v>
      </c>
      <c r="E128" s="9" t="s">
        <v>386</v>
      </c>
      <c r="F128" s="11" t="s">
        <v>387</v>
      </c>
      <c r="G128" s="11" t="s">
        <v>764</v>
      </c>
      <c r="H128" s="11" t="s">
        <v>765</v>
      </c>
      <c r="I128" s="11"/>
      <c r="J128" s="11" t="s">
        <v>766</v>
      </c>
      <c r="K128" s="9" t="s">
        <v>391</v>
      </c>
    </row>
    <row r="129" customFormat="false" ht="46.25" hidden="false" customHeight="false" outlineLevel="0" collapsed="false">
      <c r="A129" s="9" t="s">
        <v>14</v>
      </c>
      <c r="B129" s="9" t="s">
        <v>12</v>
      </c>
      <c r="C129" s="9" t="s">
        <v>225</v>
      </c>
      <c r="D129" s="9" t="s">
        <v>226</v>
      </c>
      <c r="E129" s="9" t="s">
        <v>386</v>
      </c>
      <c r="F129" s="11" t="s">
        <v>767</v>
      </c>
      <c r="G129" s="11" t="s">
        <v>768</v>
      </c>
      <c r="H129" s="11" t="s">
        <v>769</v>
      </c>
      <c r="I129" s="11"/>
      <c r="J129" s="11" t="s">
        <v>770</v>
      </c>
      <c r="K129" s="9" t="s">
        <v>391</v>
      </c>
    </row>
    <row r="130" customFormat="false" ht="35.05" hidden="false" customHeight="false" outlineLevel="0" collapsed="false">
      <c r="A130" s="9" t="s">
        <v>14</v>
      </c>
      <c r="B130" s="9" t="s">
        <v>12</v>
      </c>
      <c r="C130" s="9" t="s">
        <v>225</v>
      </c>
      <c r="D130" s="9" t="s">
        <v>226</v>
      </c>
      <c r="E130" s="9" t="s">
        <v>386</v>
      </c>
      <c r="F130" s="11" t="s">
        <v>613</v>
      </c>
      <c r="G130" s="11" t="s">
        <v>771</v>
      </c>
      <c r="H130" s="11" t="s">
        <v>772</v>
      </c>
      <c r="I130" s="11"/>
      <c r="J130" s="11" t="s">
        <v>770</v>
      </c>
      <c r="K130" s="9" t="s">
        <v>391</v>
      </c>
    </row>
    <row r="131" customFormat="false" ht="68.65" hidden="false" customHeight="false" outlineLevel="0" collapsed="false">
      <c r="A131" s="9" t="s">
        <v>14</v>
      </c>
      <c r="B131" s="9" t="s">
        <v>12</v>
      </c>
      <c r="C131" s="9" t="s">
        <v>61</v>
      </c>
      <c r="D131" s="9" t="s">
        <v>62</v>
      </c>
      <c r="E131" s="9" t="s">
        <v>386</v>
      </c>
      <c r="F131" s="11" t="s">
        <v>387</v>
      </c>
      <c r="G131" s="11" t="s">
        <v>773</v>
      </c>
      <c r="H131" s="11" t="s">
        <v>774</v>
      </c>
      <c r="I131" s="11"/>
      <c r="J131" s="11" t="s">
        <v>775</v>
      </c>
      <c r="K131" s="9" t="s">
        <v>391</v>
      </c>
    </row>
    <row r="132" customFormat="false" ht="46.25" hidden="false" customHeight="false" outlineLevel="0" collapsed="false">
      <c r="A132" s="9" t="s">
        <v>14</v>
      </c>
      <c r="B132" s="9" t="s">
        <v>12</v>
      </c>
      <c r="C132" s="9" t="s">
        <v>61</v>
      </c>
      <c r="D132" s="9" t="s">
        <v>62</v>
      </c>
      <c r="E132" s="9" t="s">
        <v>386</v>
      </c>
      <c r="F132" s="11" t="s">
        <v>410</v>
      </c>
      <c r="G132" s="11" t="s">
        <v>776</v>
      </c>
      <c r="H132" s="11" t="s">
        <v>777</v>
      </c>
      <c r="I132" s="11"/>
      <c r="J132" s="11" t="s">
        <v>778</v>
      </c>
      <c r="K132" s="9" t="s">
        <v>391</v>
      </c>
    </row>
    <row r="133" customFormat="false" ht="35.05" hidden="false" customHeight="false" outlineLevel="0" collapsed="false">
      <c r="A133" s="9" t="s">
        <v>14</v>
      </c>
      <c r="B133" s="9" t="s">
        <v>12</v>
      </c>
      <c r="C133" s="9" t="s">
        <v>61</v>
      </c>
      <c r="D133" s="9" t="s">
        <v>62</v>
      </c>
      <c r="E133" s="9" t="s">
        <v>386</v>
      </c>
      <c r="F133" s="11" t="s">
        <v>400</v>
      </c>
      <c r="G133" s="11" t="s">
        <v>779</v>
      </c>
      <c r="H133" s="11" t="s">
        <v>780</v>
      </c>
      <c r="I133" s="11"/>
      <c r="J133" s="11" t="s">
        <v>781</v>
      </c>
      <c r="K133" s="9" t="s">
        <v>391</v>
      </c>
    </row>
    <row r="134" customFormat="false" ht="57.45" hidden="false" customHeight="false" outlineLevel="0" collapsed="false">
      <c r="A134" s="9" t="s">
        <v>14</v>
      </c>
      <c r="B134" s="9" t="s">
        <v>12</v>
      </c>
      <c r="C134" s="9" t="s">
        <v>61</v>
      </c>
      <c r="D134" s="9" t="s">
        <v>62</v>
      </c>
      <c r="E134" s="9" t="s">
        <v>386</v>
      </c>
      <c r="F134" s="11" t="s">
        <v>392</v>
      </c>
      <c r="G134" s="11" t="s">
        <v>782</v>
      </c>
      <c r="H134" s="11" t="s">
        <v>783</v>
      </c>
      <c r="I134" s="11"/>
      <c r="J134" s="11" t="s">
        <v>784</v>
      </c>
      <c r="K134" s="9" t="s">
        <v>391</v>
      </c>
    </row>
    <row r="135" customFormat="false" ht="35.05" hidden="false" customHeight="false" outlineLevel="0" collapsed="false">
      <c r="A135" s="9" t="s">
        <v>14</v>
      </c>
      <c r="B135" s="9" t="s">
        <v>12</v>
      </c>
      <c r="C135" s="9" t="s">
        <v>61</v>
      </c>
      <c r="D135" s="9" t="s">
        <v>62</v>
      </c>
      <c r="E135" s="9" t="s">
        <v>386</v>
      </c>
      <c r="F135" s="11" t="s">
        <v>396</v>
      </c>
      <c r="G135" s="11" t="s">
        <v>785</v>
      </c>
      <c r="H135" s="11" t="s">
        <v>786</v>
      </c>
      <c r="I135" s="11"/>
      <c r="J135" s="11" t="s">
        <v>787</v>
      </c>
      <c r="K135" s="9" t="s">
        <v>391</v>
      </c>
    </row>
    <row r="136" customFormat="false" ht="23.85" hidden="false" customHeight="false" outlineLevel="0" collapsed="false">
      <c r="A136" s="9" t="s">
        <v>14</v>
      </c>
      <c r="B136" s="9" t="s">
        <v>12</v>
      </c>
      <c r="C136" s="9" t="s">
        <v>61</v>
      </c>
      <c r="D136" s="9" t="s">
        <v>62</v>
      </c>
      <c r="E136" s="9" t="s">
        <v>386</v>
      </c>
      <c r="F136" s="11" t="s">
        <v>715</v>
      </c>
      <c r="G136" s="11" t="s">
        <v>788</v>
      </c>
      <c r="H136" s="11" t="s">
        <v>789</v>
      </c>
      <c r="I136" s="11"/>
      <c r="J136" s="11" t="s">
        <v>790</v>
      </c>
      <c r="K136" s="9" t="s">
        <v>391</v>
      </c>
    </row>
    <row r="137" customFormat="false" ht="35.05" hidden="false" customHeight="false" outlineLevel="0" collapsed="false">
      <c r="A137" s="9" t="s">
        <v>14</v>
      </c>
      <c r="B137" s="9" t="s">
        <v>12</v>
      </c>
      <c r="C137" s="9" t="s">
        <v>61</v>
      </c>
      <c r="D137" s="9" t="s">
        <v>62</v>
      </c>
      <c r="E137" s="9" t="s">
        <v>386</v>
      </c>
      <c r="F137" s="11" t="s">
        <v>715</v>
      </c>
      <c r="G137" s="11" t="s">
        <v>791</v>
      </c>
      <c r="H137" s="11" t="s">
        <v>792</v>
      </c>
      <c r="I137" s="11"/>
      <c r="J137" s="11" t="s">
        <v>793</v>
      </c>
      <c r="K137" s="9" t="s">
        <v>391</v>
      </c>
    </row>
    <row r="138" customFormat="false" ht="46.25" hidden="false" customHeight="false" outlineLevel="0" collapsed="false">
      <c r="A138" s="9" t="s">
        <v>14</v>
      </c>
      <c r="B138" s="9" t="s">
        <v>12</v>
      </c>
      <c r="C138" s="9" t="s">
        <v>220</v>
      </c>
      <c r="D138" s="9" t="s">
        <v>221</v>
      </c>
      <c r="E138" s="9" t="s">
        <v>386</v>
      </c>
      <c r="F138" s="11" t="s">
        <v>400</v>
      </c>
      <c r="G138" s="11" t="s">
        <v>794</v>
      </c>
      <c r="H138" s="11" t="s">
        <v>795</v>
      </c>
      <c r="I138" s="11"/>
      <c r="J138" s="11" t="s">
        <v>796</v>
      </c>
      <c r="K138" s="9" t="s">
        <v>391</v>
      </c>
    </row>
    <row r="139" customFormat="false" ht="46.25" hidden="false" customHeight="false" outlineLevel="0" collapsed="false">
      <c r="A139" s="9" t="s">
        <v>14</v>
      </c>
      <c r="B139" s="9" t="s">
        <v>12</v>
      </c>
      <c r="C139" s="9" t="s">
        <v>220</v>
      </c>
      <c r="D139" s="9" t="s">
        <v>221</v>
      </c>
      <c r="E139" s="9" t="s">
        <v>386</v>
      </c>
      <c r="F139" s="11" t="s">
        <v>400</v>
      </c>
      <c r="G139" s="11" t="s">
        <v>797</v>
      </c>
      <c r="H139" s="11" t="s">
        <v>798</v>
      </c>
      <c r="I139" s="11"/>
      <c r="J139" s="11" t="s">
        <v>796</v>
      </c>
      <c r="K139" s="9" t="s">
        <v>391</v>
      </c>
    </row>
    <row r="140" customFormat="false" ht="57.45" hidden="false" customHeight="false" outlineLevel="0" collapsed="false">
      <c r="A140" s="9" t="s">
        <v>14</v>
      </c>
      <c r="B140" s="9" t="s">
        <v>12</v>
      </c>
      <c r="C140" s="9" t="s">
        <v>220</v>
      </c>
      <c r="D140" s="9" t="s">
        <v>221</v>
      </c>
      <c r="E140" s="9" t="s">
        <v>386</v>
      </c>
      <c r="F140" s="11" t="s">
        <v>400</v>
      </c>
      <c r="G140" s="11" t="s">
        <v>799</v>
      </c>
      <c r="H140" s="11" t="s">
        <v>800</v>
      </c>
      <c r="I140" s="11"/>
      <c r="J140" s="11" t="s">
        <v>801</v>
      </c>
      <c r="K140" s="9" t="s">
        <v>391</v>
      </c>
    </row>
    <row r="141" customFormat="false" ht="46.25" hidden="false" customHeight="false" outlineLevel="0" collapsed="false">
      <c r="A141" s="9" t="s">
        <v>14</v>
      </c>
      <c r="B141" s="9" t="s">
        <v>12</v>
      </c>
      <c r="C141" s="9" t="s">
        <v>220</v>
      </c>
      <c r="D141" s="9" t="s">
        <v>221</v>
      </c>
      <c r="E141" s="9" t="s">
        <v>386</v>
      </c>
      <c r="F141" s="11" t="s">
        <v>392</v>
      </c>
      <c r="G141" s="11" t="s">
        <v>802</v>
      </c>
      <c r="H141" s="11" t="s">
        <v>803</v>
      </c>
      <c r="I141" s="11"/>
      <c r="J141" s="11" t="s">
        <v>804</v>
      </c>
      <c r="K141" s="9" t="s">
        <v>391</v>
      </c>
    </row>
    <row r="142" customFormat="false" ht="46.25" hidden="false" customHeight="false" outlineLevel="0" collapsed="false">
      <c r="A142" s="9" t="s">
        <v>14</v>
      </c>
      <c r="B142" s="9" t="s">
        <v>12</v>
      </c>
      <c r="C142" s="9" t="s">
        <v>220</v>
      </c>
      <c r="D142" s="9" t="s">
        <v>221</v>
      </c>
      <c r="E142" s="9" t="s">
        <v>386</v>
      </c>
      <c r="F142" s="11" t="s">
        <v>392</v>
      </c>
      <c r="G142" s="11" t="s">
        <v>805</v>
      </c>
      <c r="H142" s="11" t="s">
        <v>806</v>
      </c>
      <c r="I142" s="11"/>
      <c r="J142" s="11" t="s">
        <v>807</v>
      </c>
      <c r="K142" s="9" t="s">
        <v>391</v>
      </c>
    </row>
    <row r="143" customFormat="false" ht="23.85" hidden="false" customHeight="false" outlineLevel="0" collapsed="false">
      <c r="A143" s="9" t="s">
        <v>14</v>
      </c>
      <c r="B143" s="9" t="s">
        <v>12</v>
      </c>
      <c r="C143" s="9" t="s">
        <v>220</v>
      </c>
      <c r="D143" s="9" t="s">
        <v>221</v>
      </c>
      <c r="E143" s="9" t="s">
        <v>386</v>
      </c>
      <c r="F143" s="11" t="s">
        <v>396</v>
      </c>
      <c r="G143" s="11" t="s">
        <v>808</v>
      </c>
      <c r="H143" s="11" t="s">
        <v>809</v>
      </c>
      <c r="I143" s="11"/>
      <c r="J143" s="11" t="s">
        <v>810</v>
      </c>
      <c r="K143" s="9" t="s">
        <v>391</v>
      </c>
    </row>
    <row r="144" customFormat="false" ht="35.05" hidden="false" customHeight="false" outlineLevel="0" collapsed="false">
      <c r="A144" s="9" t="s">
        <v>14</v>
      </c>
      <c r="B144" s="9" t="s">
        <v>12</v>
      </c>
      <c r="C144" s="9" t="s">
        <v>220</v>
      </c>
      <c r="D144" s="9" t="s">
        <v>221</v>
      </c>
      <c r="E144" s="9" t="s">
        <v>386</v>
      </c>
      <c r="F144" s="11" t="s">
        <v>441</v>
      </c>
      <c r="G144" s="11" t="s">
        <v>811</v>
      </c>
      <c r="H144" s="11" t="s">
        <v>812</v>
      </c>
      <c r="I144" s="11"/>
      <c r="J144" s="11" t="s">
        <v>813</v>
      </c>
      <c r="K144" s="9" t="s">
        <v>391</v>
      </c>
    </row>
    <row r="145" customFormat="false" ht="35.05" hidden="false" customHeight="false" outlineLevel="0" collapsed="false">
      <c r="A145" s="9" t="s">
        <v>14</v>
      </c>
      <c r="B145" s="9" t="s">
        <v>12</v>
      </c>
      <c r="C145" s="9" t="s">
        <v>216</v>
      </c>
      <c r="D145" s="9" t="s">
        <v>217</v>
      </c>
      <c r="E145" s="9" t="s">
        <v>386</v>
      </c>
      <c r="F145" s="11" t="s">
        <v>400</v>
      </c>
      <c r="G145" s="11" t="s">
        <v>814</v>
      </c>
      <c r="H145" s="11" t="s">
        <v>815</v>
      </c>
      <c r="I145" s="11"/>
      <c r="J145" s="11" t="s">
        <v>816</v>
      </c>
      <c r="K145" s="9" t="s">
        <v>391</v>
      </c>
    </row>
    <row r="146" customFormat="false" ht="35.05" hidden="false" customHeight="false" outlineLevel="0" collapsed="false">
      <c r="A146" s="9" t="s">
        <v>14</v>
      </c>
      <c r="B146" s="9" t="s">
        <v>12</v>
      </c>
      <c r="C146" s="9" t="s">
        <v>216</v>
      </c>
      <c r="D146" s="9" t="s">
        <v>217</v>
      </c>
      <c r="E146" s="9" t="s">
        <v>386</v>
      </c>
      <c r="F146" s="11" t="s">
        <v>392</v>
      </c>
      <c r="G146" s="11" t="s">
        <v>817</v>
      </c>
      <c r="H146" s="11" t="s">
        <v>818</v>
      </c>
      <c r="I146" s="11"/>
      <c r="J146" s="11" t="s">
        <v>819</v>
      </c>
      <c r="K146" s="9" t="s">
        <v>391</v>
      </c>
    </row>
    <row r="147" customFormat="false" ht="35.05" hidden="false" customHeight="false" outlineLevel="0" collapsed="false">
      <c r="A147" s="9" t="s">
        <v>14</v>
      </c>
      <c r="B147" s="9" t="s">
        <v>12</v>
      </c>
      <c r="C147" s="9" t="s">
        <v>216</v>
      </c>
      <c r="D147" s="9" t="s">
        <v>217</v>
      </c>
      <c r="E147" s="9" t="s">
        <v>386</v>
      </c>
      <c r="F147" s="11" t="s">
        <v>400</v>
      </c>
      <c r="G147" s="11" t="s">
        <v>820</v>
      </c>
      <c r="H147" s="11" t="s">
        <v>821</v>
      </c>
      <c r="I147" s="11"/>
      <c r="J147" s="11" t="s">
        <v>822</v>
      </c>
      <c r="K147" s="9" t="s">
        <v>391</v>
      </c>
    </row>
    <row r="148" customFormat="false" ht="46.25" hidden="false" customHeight="false" outlineLevel="0" collapsed="false">
      <c r="A148" s="9" t="s">
        <v>14</v>
      </c>
      <c r="B148" s="9" t="s">
        <v>12</v>
      </c>
      <c r="C148" s="9" t="s">
        <v>216</v>
      </c>
      <c r="D148" s="9" t="s">
        <v>217</v>
      </c>
      <c r="E148" s="9" t="s">
        <v>386</v>
      </c>
      <c r="F148" s="11" t="s">
        <v>387</v>
      </c>
      <c r="G148" s="11" t="s">
        <v>823</v>
      </c>
      <c r="H148" s="11" t="s">
        <v>824</v>
      </c>
      <c r="I148" s="11"/>
      <c r="J148" s="11" t="s">
        <v>816</v>
      </c>
      <c r="K148" s="9" t="s">
        <v>391</v>
      </c>
    </row>
    <row r="149" customFormat="false" ht="35.05" hidden="false" customHeight="false" outlineLevel="0" collapsed="false">
      <c r="A149" s="9" t="s">
        <v>14</v>
      </c>
      <c r="B149" s="9" t="s">
        <v>12</v>
      </c>
      <c r="C149" s="9" t="s">
        <v>216</v>
      </c>
      <c r="D149" s="9" t="s">
        <v>217</v>
      </c>
      <c r="E149" s="9" t="s">
        <v>386</v>
      </c>
      <c r="F149" s="11" t="s">
        <v>410</v>
      </c>
      <c r="G149" s="11" t="s">
        <v>825</v>
      </c>
      <c r="H149" s="11" t="s">
        <v>826</v>
      </c>
      <c r="I149" s="11"/>
      <c r="J149" s="11" t="s">
        <v>827</v>
      </c>
      <c r="K149" s="9" t="s">
        <v>391</v>
      </c>
    </row>
    <row r="150" customFormat="false" ht="57.45" hidden="false" customHeight="false" outlineLevel="0" collapsed="false">
      <c r="A150" s="9" t="s">
        <v>14</v>
      </c>
      <c r="B150" s="9" t="s">
        <v>12</v>
      </c>
      <c r="C150" s="9" t="s">
        <v>216</v>
      </c>
      <c r="D150" s="9" t="s">
        <v>217</v>
      </c>
      <c r="E150" s="9" t="s">
        <v>386</v>
      </c>
      <c r="F150" s="11" t="s">
        <v>419</v>
      </c>
      <c r="G150" s="11" t="s">
        <v>828</v>
      </c>
      <c r="H150" s="11" t="s">
        <v>829</v>
      </c>
      <c r="I150" s="11"/>
      <c r="J150" s="11" t="s">
        <v>827</v>
      </c>
      <c r="K150" s="9" t="s">
        <v>391</v>
      </c>
    </row>
    <row r="151" customFormat="false" ht="46.25" hidden="false" customHeight="false" outlineLevel="0" collapsed="false">
      <c r="A151" s="9" t="s">
        <v>14</v>
      </c>
      <c r="B151" s="9" t="s">
        <v>12</v>
      </c>
      <c r="C151" s="9" t="s">
        <v>216</v>
      </c>
      <c r="D151" s="9" t="s">
        <v>217</v>
      </c>
      <c r="E151" s="9" t="s">
        <v>386</v>
      </c>
      <c r="F151" s="11" t="s">
        <v>419</v>
      </c>
      <c r="G151" s="11" t="s">
        <v>830</v>
      </c>
      <c r="H151" s="11" t="s">
        <v>831</v>
      </c>
      <c r="I151" s="11"/>
      <c r="J151" s="11" t="s">
        <v>827</v>
      </c>
      <c r="K151" s="9" t="s">
        <v>391</v>
      </c>
    </row>
    <row r="152" customFormat="false" ht="35.05" hidden="false" customHeight="false" outlineLevel="0" collapsed="false">
      <c r="A152" s="9" t="s">
        <v>14</v>
      </c>
      <c r="B152" s="9" t="s">
        <v>12</v>
      </c>
      <c r="C152" s="9" t="s">
        <v>216</v>
      </c>
      <c r="D152" s="9" t="s">
        <v>217</v>
      </c>
      <c r="E152" s="9" t="s">
        <v>386</v>
      </c>
      <c r="F152" s="11" t="s">
        <v>410</v>
      </c>
      <c r="G152" s="11" t="s">
        <v>832</v>
      </c>
      <c r="H152" s="11" t="s">
        <v>833</v>
      </c>
      <c r="I152" s="11"/>
      <c r="J152" s="11" t="s">
        <v>834</v>
      </c>
      <c r="K152" s="9" t="s">
        <v>391</v>
      </c>
    </row>
    <row r="153" customFormat="false" ht="35.05" hidden="false" customHeight="false" outlineLevel="0" collapsed="false">
      <c r="A153" s="9" t="s">
        <v>14</v>
      </c>
      <c r="B153" s="9" t="s">
        <v>12</v>
      </c>
      <c r="C153" s="9" t="s">
        <v>216</v>
      </c>
      <c r="D153" s="9" t="s">
        <v>217</v>
      </c>
      <c r="E153" s="9" t="s">
        <v>386</v>
      </c>
      <c r="F153" s="11" t="s">
        <v>410</v>
      </c>
      <c r="G153" s="11" t="s">
        <v>835</v>
      </c>
      <c r="H153" s="11" t="s">
        <v>836</v>
      </c>
      <c r="I153" s="11"/>
      <c r="J153" s="11" t="s">
        <v>834</v>
      </c>
      <c r="K153" s="9" t="s">
        <v>391</v>
      </c>
    </row>
    <row r="154" customFormat="false" ht="35.05" hidden="false" customHeight="false" outlineLevel="0" collapsed="false">
      <c r="A154" s="9" t="s">
        <v>14</v>
      </c>
      <c r="B154" s="9" t="s">
        <v>12</v>
      </c>
      <c r="C154" s="9" t="s">
        <v>216</v>
      </c>
      <c r="D154" s="9" t="s">
        <v>217</v>
      </c>
      <c r="E154" s="9" t="s">
        <v>386</v>
      </c>
      <c r="F154" s="11" t="s">
        <v>392</v>
      </c>
      <c r="G154" s="11" t="s">
        <v>837</v>
      </c>
      <c r="H154" s="11" t="s">
        <v>838</v>
      </c>
      <c r="I154" s="11"/>
      <c r="J154" s="11" t="s">
        <v>839</v>
      </c>
      <c r="K154" s="9" t="s">
        <v>391</v>
      </c>
    </row>
    <row r="155" customFormat="false" ht="46.25" hidden="false" customHeight="false" outlineLevel="0" collapsed="false">
      <c r="A155" s="9" t="s">
        <v>14</v>
      </c>
      <c r="B155" s="9" t="s">
        <v>12</v>
      </c>
      <c r="C155" s="9" t="s">
        <v>216</v>
      </c>
      <c r="D155" s="9" t="s">
        <v>217</v>
      </c>
      <c r="E155" s="9" t="s">
        <v>465</v>
      </c>
      <c r="F155" s="11" t="s">
        <v>466</v>
      </c>
      <c r="G155" s="11" t="s">
        <v>840</v>
      </c>
      <c r="H155" s="11" t="s">
        <v>841</v>
      </c>
      <c r="I155" s="11"/>
      <c r="J155" s="11" t="s">
        <v>842</v>
      </c>
      <c r="K155" s="9" t="s">
        <v>391</v>
      </c>
    </row>
    <row r="156" customFormat="false" ht="35.05" hidden="false" customHeight="false" outlineLevel="0" collapsed="false">
      <c r="A156" s="9" t="s">
        <v>14</v>
      </c>
      <c r="B156" s="9" t="s">
        <v>13</v>
      </c>
      <c r="C156" s="9" t="s">
        <v>235</v>
      </c>
      <c r="D156" s="9" t="s">
        <v>236</v>
      </c>
      <c r="E156" s="9" t="s">
        <v>386</v>
      </c>
      <c r="F156" s="11" t="s">
        <v>400</v>
      </c>
      <c r="G156" s="11" t="s">
        <v>843</v>
      </c>
      <c r="H156" s="11" t="s">
        <v>844</v>
      </c>
      <c r="I156" s="11"/>
      <c r="J156" s="11" t="s">
        <v>845</v>
      </c>
      <c r="K156" s="9" t="s">
        <v>391</v>
      </c>
    </row>
    <row r="157" customFormat="false" ht="57.45" hidden="false" customHeight="false" outlineLevel="0" collapsed="false">
      <c r="A157" s="9" t="s">
        <v>14</v>
      </c>
      <c r="B157" s="9" t="s">
        <v>13</v>
      </c>
      <c r="C157" s="9" t="s">
        <v>235</v>
      </c>
      <c r="D157" s="9" t="s">
        <v>236</v>
      </c>
      <c r="E157" s="9" t="s">
        <v>386</v>
      </c>
      <c r="F157" s="11" t="s">
        <v>400</v>
      </c>
      <c r="G157" s="11" t="s">
        <v>846</v>
      </c>
      <c r="H157" s="11" t="s">
        <v>847</v>
      </c>
      <c r="I157" s="11"/>
      <c r="J157" s="11" t="s">
        <v>848</v>
      </c>
      <c r="K157" s="9" t="s">
        <v>391</v>
      </c>
    </row>
    <row r="158" customFormat="false" ht="46.25" hidden="false" customHeight="false" outlineLevel="0" collapsed="false">
      <c r="A158" s="9" t="s">
        <v>14</v>
      </c>
      <c r="B158" s="9" t="s">
        <v>13</v>
      </c>
      <c r="C158" s="9" t="s">
        <v>235</v>
      </c>
      <c r="D158" s="9" t="s">
        <v>236</v>
      </c>
      <c r="E158" s="9" t="s">
        <v>386</v>
      </c>
      <c r="F158" s="11" t="s">
        <v>392</v>
      </c>
      <c r="G158" s="11" t="s">
        <v>849</v>
      </c>
      <c r="H158" s="11" t="s">
        <v>850</v>
      </c>
      <c r="I158" s="11"/>
      <c r="J158" s="11" t="s">
        <v>851</v>
      </c>
      <c r="K158" s="9" t="s">
        <v>391</v>
      </c>
    </row>
    <row r="159" customFormat="false" ht="35.05" hidden="false" customHeight="false" outlineLevel="0" collapsed="false">
      <c r="A159" s="9" t="s">
        <v>14</v>
      </c>
      <c r="B159" s="9" t="s">
        <v>13</v>
      </c>
      <c r="C159" s="9" t="s">
        <v>235</v>
      </c>
      <c r="D159" s="9" t="s">
        <v>236</v>
      </c>
      <c r="E159" s="9" t="s">
        <v>386</v>
      </c>
      <c r="F159" s="11" t="s">
        <v>392</v>
      </c>
      <c r="G159" s="11" t="s">
        <v>852</v>
      </c>
      <c r="H159" s="11" t="s">
        <v>853</v>
      </c>
      <c r="I159" s="11"/>
      <c r="J159" s="11" t="s">
        <v>854</v>
      </c>
      <c r="K159" s="9" t="s">
        <v>391</v>
      </c>
    </row>
    <row r="160" customFormat="false" ht="46.25" hidden="false" customHeight="false" outlineLevel="0" collapsed="false">
      <c r="A160" s="9" t="s">
        <v>14</v>
      </c>
      <c r="B160" s="9" t="s">
        <v>13</v>
      </c>
      <c r="C160" s="9" t="s">
        <v>235</v>
      </c>
      <c r="D160" s="9" t="s">
        <v>236</v>
      </c>
      <c r="E160" s="9" t="s">
        <v>386</v>
      </c>
      <c r="F160" s="11" t="s">
        <v>392</v>
      </c>
      <c r="G160" s="11" t="s">
        <v>855</v>
      </c>
      <c r="H160" s="11" t="s">
        <v>856</v>
      </c>
      <c r="I160" s="11"/>
      <c r="J160" s="11" t="s">
        <v>857</v>
      </c>
      <c r="K160" s="9" t="s">
        <v>391</v>
      </c>
    </row>
    <row r="161" customFormat="false" ht="35.05" hidden="false" customHeight="false" outlineLevel="0" collapsed="false">
      <c r="A161" s="9" t="s">
        <v>14</v>
      </c>
      <c r="B161" s="9" t="s">
        <v>13</v>
      </c>
      <c r="C161" s="9" t="s">
        <v>235</v>
      </c>
      <c r="D161" s="9" t="s">
        <v>236</v>
      </c>
      <c r="E161" s="9" t="s">
        <v>386</v>
      </c>
      <c r="F161" s="11" t="s">
        <v>392</v>
      </c>
      <c r="G161" s="11" t="s">
        <v>858</v>
      </c>
      <c r="H161" s="11" t="s">
        <v>859</v>
      </c>
      <c r="I161" s="11"/>
      <c r="J161" s="11" t="s">
        <v>860</v>
      </c>
      <c r="K161" s="9" t="s">
        <v>391</v>
      </c>
    </row>
    <row r="162" customFormat="false" ht="46.25" hidden="false" customHeight="false" outlineLevel="0" collapsed="false">
      <c r="A162" s="9" t="s">
        <v>14</v>
      </c>
      <c r="B162" s="9" t="s">
        <v>13</v>
      </c>
      <c r="C162" s="9" t="s">
        <v>235</v>
      </c>
      <c r="D162" s="9" t="s">
        <v>236</v>
      </c>
      <c r="E162" s="9" t="s">
        <v>386</v>
      </c>
      <c r="F162" s="11" t="s">
        <v>392</v>
      </c>
      <c r="G162" s="11" t="s">
        <v>861</v>
      </c>
      <c r="H162" s="11" t="s">
        <v>862</v>
      </c>
      <c r="I162" s="11"/>
      <c r="J162" s="11" t="s">
        <v>863</v>
      </c>
      <c r="K162" s="9" t="s">
        <v>391</v>
      </c>
    </row>
    <row r="163" customFormat="false" ht="23.85" hidden="false" customHeight="false" outlineLevel="0" collapsed="false">
      <c r="A163" s="9" t="s">
        <v>14</v>
      </c>
      <c r="B163" s="9" t="s">
        <v>13</v>
      </c>
      <c r="C163" s="9" t="s">
        <v>235</v>
      </c>
      <c r="D163" s="9" t="s">
        <v>236</v>
      </c>
      <c r="E163" s="9" t="s">
        <v>386</v>
      </c>
      <c r="F163" s="11" t="s">
        <v>396</v>
      </c>
      <c r="G163" s="11" t="s">
        <v>864</v>
      </c>
      <c r="H163" s="11" t="s">
        <v>865</v>
      </c>
      <c r="I163" s="11"/>
      <c r="J163" s="11" t="s">
        <v>857</v>
      </c>
      <c r="K163" s="9" t="s">
        <v>391</v>
      </c>
    </row>
    <row r="164" customFormat="false" ht="35.05" hidden="false" customHeight="false" outlineLevel="0" collapsed="false">
      <c r="A164" s="9" t="s">
        <v>14</v>
      </c>
      <c r="B164" s="9" t="s">
        <v>13</v>
      </c>
      <c r="C164" s="9" t="s">
        <v>64</v>
      </c>
      <c r="D164" s="9" t="s">
        <v>65</v>
      </c>
      <c r="E164" s="9" t="s">
        <v>386</v>
      </c>
      <c r="F164" s="11" t="s">
        <v>400</v>
      </c>
      <c r="G164" s="11" t="s">
        <v>866</v>
      </c>
      <c r="H164" s="11" t="s">
        <v>867</v>
      </c>
      <c r="I164" s="11"/>
      <c r="J164" s="11" t="s">
        <v>868</v>
      </c>
      <c r="K164" s="9" t="s">
        <v>391</v>
      </c>
    </row>
    <row r="165" customFormat="false" ht="46.25" hidden="false" customHeight="false" outlineLevel="0" collapsed="false">
      <c r="A165" s="9" t="s">
        <v>14</v>
      </c>
      <c r="B165" s="9" t="s">
        <v>13</v>
      </c>
      <c r="C165" s="9" t="s">
        <v>64</v>
      </c>
      <c r="D165" s="9" t="s">
        <v>65</v>
      </c>
      <c r="E165" s="9" t="s">
        <v>386</v>
      </c>
      <c r="F165" s="11" t="s">
        <v>400</v>
      </c>
      <c r="G165" s="11" t="s">
        <v>869</v>
      </c>
      <c r="H165" s="11" t="s">
        <v>870</v>
      </c>
      <c r="I165" s="11"/>
      <c r="J165" s="11" t="s">
        <v>871</v>
      </c>
      <c r="K165" s="9" t="s">
        <v>391</v>
      </c>
    </row>
    <row r="166" customFormat="false" ht="35.05" hidden="false" customHeight="false" outlineLevel="0" collapsed="false">
      <c r="A166" s="9" t="s">
        <v>14</v>
      </c>
      <c r="B166" s="9" t="s">
        <v>13</v>
      </c>
      <c r="C166" s="9" t="s">
        <v>64</v>
      </c>
      <c r="D166" s="9" t="s">
        <v>65</v>
      </c>
      <c r="E166" s="9" t="s">
        <v>386</v>
      </c>
      <c r="F166" s="11" t="s">
        <v>400</v>
      </c>
      <c r="G166" s="11" t="s">
        <v>872</v>
      </c>
      <c r="H166" s="11" t="s">
        <v>873</v>
      </c>
      <c r="I166" s="11"/>
      <c r="J166" s="11" t="s">
        <v>874</v>
      </c>
      <c r="K166" s="9" t="s">
        <v>391</v>
      </c>
    </row>
    <row r="167" customFormat="false" ht="46.25" hidden="false" customHeight="false" outlineLevel="0" collapsed="false">
      <c r="A167" s="9" t="s">
        <v>14</v>
      </c>
      <c r="B167" s="9" t="s">
        <v>13</v>
      </c>
      <c r="C167" s="9" t="s">
        <v>64</v>
      </c>
      <c r="D167" s="9" t="s">
        <v>65</v>
      </c>
      <c r="E167" s="9" t="s">
        <v>386</v>
      </c>
      <c r="F167" s="11" t="s">
        <v>419</v>
      </c>
      <c r="G167" s="11" t="s">
        <v>875</v>
      </c>
      <c r="H167" s="11" t="s">
        <v>876</v>
      </c>
      <c r="I167" s="11"/>
      <c r="J167" s="11" t="s">
        <v>877</v>
      </c>
      <c r="K167" s="9" t="s">
        <v>391</v>
      </c>
    </row>
    <row r="168" customFormat="false" ht="46.25" hidden="false" customHeight="false" outlineLevel="0" collapsed="false">
      <c r="A168" s="9" t="s">
        <v>14</v>
      </c>
      <c r="B168" s="9" t="s">
        <v>13</v>
      </c>
      <c r="C168" s="9" t="s">
        <v>64</v>
      </c>
      <c r="D168" s="9" t="s">
        <v>65</v>
      </c>
      <c r="E168" s="9" t="s">
        <v>386</v>
      </c>
      <c r="F168" s="11" t="s">
        <v>419</v>
      </c>
      <c r="G168" s="11" t="s">
        <v>878</v>
      </c>
      <c r="H168" s="11" t="s">
        <v>879</v>
      </c>
      <c r="I168" s="11"/>
      <c r="J168" s="11" t="s">
        <v>880</v>
      </c>
      <c r="K168" s="9" t="s">
        <v>391</v>
      </c>
    </row>
    <row r="169" customFormat="false" ht="23.85" hidden="false" customHeight="false" outlineLevel="0" collapsed="false">
      <c r="A169" s="9" t="s">
        <v>14</v>
      </c>
      <c r="B169" s="9" t="s">
        <v>13</v>
      </c>
      <c r="C169" s="9" t="s">
        <v>64</v>
      </c>
      <c r="D169" s="9" t="s">
        <v>65</v>
      </c>
      <c r="E169" s="9" t="s">
        <v>386</v>
      </c>
      <c r="F169" s="11" t="s">
        <v>396</v>
      </c>
      <c r="G169" s="11" t="s">
        <v>881</v>
      </c>
      <c r="H169" s="11" t="s">
        <v>882</v>
      </c>
      <c r="I169" s="11"/>
      <c r="J169" s="11" t="s">
        <v>883</v>
      </c>
      <c r="K169" s="9" t="s">
        <v>391</v>
      </c>
    </row>
    <row r="170" customFormat="false" ht="35.05" hidden="false" customHeight="false" outlineLevel="0" collapsed="false">
      <c r="A170" s="9" t="s">
        <v>14</v>
      </c>
      <c r="B170" s="9" t="s">
        <v>13</v>
      </c>
      <c r="C170" s="9" t="s">
        <v>67</v>
      </c>
      <c r="D170" s="9" t="s">
        <v>68</v>
      </c>
      <c r="E170" s="9" t="s">
        <v>386</v>
      </c>
      <c r="F170" s="11" t="s">
        <v>410</v>
      </c>
      <c r="G170" s="11" t="s">
        <v>884</v>
      </c>
      <c r="H170" s="11" t="s">
        <v>885</v>
      </c>
      <c r="I170" s="11"/>
      <c r="J170" s="11" t="s">
        <v>886</v>
      </c>
      <c r="K170" s="9" t="s">
        <v>391</v>
      </c>
    </row>
    <row r="171" customFormat="false" ht="23.85" hidden="false" customHeight="false" outlineLevel="0" collapsed="false">
      <c r="A171" s="9" t="s">
        <v>14</v>
      </c>
      <c r="B171" s="9" t="s">
        <v>13</v>
      </c>
      <c r="C171" s="9" t="s">
        <v>67</v>
      </c>
      <c r="D171" s="9" t="s">
        <v>68</v>
      </c>
      <c r="E171" s="9" t="s">
        <v>386</v>
      </c>
      <c r="F171" s="11" t="s">
        <v>392</v>
      </c>
      <c r="G171" s="11" t="s">
        <v>887</v>
      </c>
      <c r="H171" s="11" t="s">
        <v>888</v>
      </c>
      <c r="I171" s="11"/>
      <c r="J171" s="11" t="s">
        <v>889</v>
      </c>
      <c r="K171" s="9" t="s">
        <v>391</v>
      </c>
    </row>
    <row r="172" customFormat="false" ht="57.45" hidden="false" customHeight="false" outlineLevel="0" collapsed="false">
      <c r="A172" s="9" t="s">
        <v>14</v>
      </c>
      <c r="B172" s="9" t="s">
        <v>13</v>
      </c>
      <c r="C172" s="9" t="s">
        <v>67</v>
      </c>
      <c r="D172" s="9" t="s">
        <v>68</v>
      </c>
      <c r="E172" s="9" t="s">
        <v>386</v>
      </c>
      <c r="F172" s="11" t="s">
        <v>392</v>
      </c>
      <c r="G172" s="11" t="s">
        <v>890</v>
      </c>
      <c r="H172" s="11" t="s">
        <v>891</v>
      </c>
      <c r="I172" s="11"/>
      <c r="J172" s="11" t="s">
        <v>892</v>
      </c>
      <c r="K172" s="9" t="s">
        <v>391</v>
      </c>
    </row>
    <row r="173" customFormat="false" ht="46.25" hidden="false" customHeight="false" outlineLevel="0" collapsed="false">
      <c r="A173" s="9" t="s">
        <v>14</v>
      </c>
      <c r="B173" s="9" t="s">
        <v>13</v>
      </c>
      <c r="C173" s="9" t="s">
        <v>67</v>
      </c>
      <c r="D173" s="9" t="s">
        <v>68</v>
      </c>
      <c r="E173" s="9" t="s">
        <v>386</v>
      </c>
      <c r="F173" s="11" t="s">
        <v>396</v>
      </c>
      <c r="G173" s="11" t="s">
        <v>893</v>
      </c>
      <c r="H173" s="11" t="s">
        <v>894</v>
      </c>
      <c r="I173" s="11"/>
      <c r="J173" s="11" t="s">
        <v>895</v>
      </c>
      <c r="K173" s="9" t="s">
        <v>391</v>
      </c>
    </row>
    <row r="174" customFormat="false" ht="57.45" hidden="false" customHeight="false" outlineLevel="0" collapsed="false">
      <c r="A174" s="9" t="s">
        <v>14</v>
      </c>
      <c r="B174" s="9" t="s">
        <v>13</v>
      </c>
      <c r="C174" s="9" t="s">
        <v>67</v>
      </c>
      <c r="D174" s="9" t="s">
        <v>68</v>
      </c>
      <c r="E174" s="9" t="s">
        <v>386</v>
      </c>
      <c r="F174" s="11" t="s">
        <v>387</v>
      </c>
      <c r="G174" s="11" t="s">
        <v>896</v>
      </c>
      <c r="H174" s="11" t="s">
        <v>897</v>
      </c>
      <c r="I174" s="11"/>
      <c r="J174" s="11" t="s">
        <v>898</v>
      </c>
      <c r="K174" s="9" t="s">
        <v>391</v>
      </c>
    </row>
    <row r="175" customFormat="false" ht="57.45" hidden="false" customHeight="false" outlineLevel="0" collapsed="false">
      <c r="A175" s="9" t="s">
        <v>14</v>
      </c>
      <c r="B175" s="9" t="s">
        <v>13</v>
      </c>
      <c r="C175" s="9" t="s">
        <v>67</v>
      </c>
      <c r="D175" s="9" t="s">
        <v>68</v>
      </c>
      <c r="E175" s="9" t="s">
        <v>386</v>
      </c>
      <c r="F175" s="11" t="s">
        <v>387</v>
      </c>
      <c r="G175" s="11" t="s">
        <v>899</v>
      </c>
      <c r="H175" s="11" t="s">
        <v>900</v>
      </c>
      <c r="I175" s="11"/>
      <c r="J175" s="11" t="s">
        <v>898</v>
      </c>
      <c r="K175" s="9" t="s">
        <v>391</v>
      </c>
    </row>
    <row r="176" customFormat="false" ht="57.45" hidden="false" customHeight="false" outlineLevel="0" collapsed="false">
      <c r="A176" s="9" t="s">
        <v>14</v>
      </c>
      <c r="B176" s="9" t="s">
        <v>13</v>
      </c>
      <c r="C176" s="9" t="s">
        <v>67</v>
      </c>
      <c r="D176" s="9" t="s">
        <v>68</v>
      </c>
      <c r="E176" s="9" t="s">
        <v>386</v>
      </c>
      <c r="F176" s="11" t="s">
        <v>400</v>
      </c>
      <c r="G176" s="11" t="s">
        <v>901</v>
      </c>
      <c r="H176" s="11" t="s">
        <v>902</v>
      </c>
      <c r="I176" s="11"/>
      <c r="J176" s="11" t="s">
        <v>892</v>
      </c>
      <c r="K176" s="9" t="s">
        <v>391</v>
      </c>
    </row>
    <row r="177" customFormat="false" ht="57.45" hidden="false" customHeight="false" outlineLevel="0" collapsed="false">
      <c r="A177" s="9" t="s">
        <v>14</v>
      </c>
      <c r="B177" s="9" t="s">
        <v>13</v>
      </c>
      <c r="C177" s="9" t="s">
        <v>67</v>
      </c>
      <c r="D177" s="9" t="s">
        <v>68</v>
      </c>
      <c r="E177" s="9" t="s">
        <v>386</v>
      </c>
      <c r="F177" s="11" t="s">
        <v>400</v>
      </c>
      <c r="G177" s="11" t="s">
        <v>903</v>
      </c>
      <c r="H177" s="11" t="s">
        <v>904</v>
      </c>
      <c r="I177" s="11"/>
      <c r="J177" s="11" t="s">
        <v>905</v>
      </c>
      <c r="K177" s="9" t="s">
        <v>391</v>
      </c>
    </row>
    <row r="178" customFormat="false" ht="35.05" hidden="false" customHeight="false" outlineLevel="0" collapsed="false">
      <c r="A178" s="9" t="s">
        <v>14</v>
      </c>
      <c r="B178" s="9" t="s">
        <v>13</v>
      </c>
      <c r="C178" s="9" t="s">
        <v>67</v>
      </c>
      <c r="D178" s="9" t="s">
        <v>68</v>
      </c>
      <c r="E178" s="9" t="s">
        <v>386</v>
      </c>
      <c r="F178" s="11" t="s">
        <v>392</v>
      </c>
      <c r="G178" s="11" t="s">
        <v>906</v>
      </c>
      <c r="H178" s="11" t="s">
        <v>907</v>
      </c>
      <c r="I178" s="11"/>
      <c r="J178" s="11" t="s">
        <v>908</v>
      </c>
      <c r="K178" s="9" t="s">
        <v>391</v>
      </c>
    </row>
    <row r="179" customFormat="false" ht="57.45" hidden="false" customHeight="false" outlineLevel="0" collapsed="false">
      <c r="A179" s="9" t="s">
        <v>14</v>
      </c>
      <c r="B179" s="9" t="s">
        <v>13</v>
      </c>
      <c r="C179" s="9" t="s">
        <v>67</v>
      </c>
      <c r="D179" s="9" t="s">
        <v>68</v>
      </c>
      <c r="E179" s="9" t="s">
        <v>386</v>
      </c>
      <c r="F179" s="11" t="s">
        <v>392</v>
      </c>
      <c r="G179" s="11" t="s">
        <v>909</v>
      </c>
      <c r="H179" s="11" t="s">
        <v>910</v>
      </c>
      <c r="I179" s="11"/>
      <c r="J179" s="11" t="s">
        <v>911</v>
      </c>
      <c r="K179" s="9" t="s">
        <v>391</v>
      </c>
    </row>
    <row r="180" customFormat="false" ht="35.05" hidden="false" customHeight="false" outlineLevel="0" collapsed="false">
      <c r="A180" s="9" t="s">
        <v>14</v>
      </c>
      <c r="B180" s="9" t="s">
        <v>13</v>
      </c>
      <c r="C180" s="9" t="s">
        <v>67</v>
      </c>
      <c r="D180" s="9" t="s">
        <v>68</v>
      </c>
      <c r="E180" s="9" t="s">
        <v>386</v>
      </c>
      <c r="F180" s="11" t="s">
        <v>392</v>
      </c>
      <c r="G180" s="11" t="s">
        <v>912</v>
      </c>
      <c r="H180" s="11" t="s">
        <v>913</v>
      </c>
      <c r="I180" s="11"/>
      <c r="J180" s="11" t="s">
        <v>914</v>
      </c>
      <c r="K180" s="9" t="s">
        <v>391</v>
      </c>
    </row>
    <row r="181" customFormat="false" ht="35.05" hidden="false" customHeight="false" outlineLevel="0" collapsed="false">
      <c r="A181" s="9" t="s">
        <v>14</v>
      </c>
      <c r="B181" s="9" t="s">
        <v>13</v>
      </c>
      <c r="C181" s="9" t="s">
        <v>67</v>
      </c>
      <c r="D181" s="9" t="s">
        <v>68</v>
      </c>
      <c r="E181" s="9" t="s">
        <v>386</v>
      </c>
      <c r="F181" s="11" t="s">
        <v>392</v>
      </c>
      <c r="G181" s="11" t="s">
        <v>915</v>
      </c>
      <c r="H181" s="11" t="s">
        <v>916</v>
      </c>
      <c r="I181" s="11"/>
      <c r="J181" s="11" t="s">
        <v>908</v>
      </c>
      <c r="K181" s="9" t="s">
        <v>391</v>
      </c>
    </row>
    <row r="182" customFormat="false" ht="46.25" hidden="false" customHeight="false" outlineLevel="0" collapsed="false">
      <c r="A182" s="9" t="s">
        <v>14</v>
      </c>
      <c r="B182" s="9" t="s">
        <v>13</v>
      </c>
      <c r="C182" s="9" t="s">
        <v>239</v>
      </c>
      <c r="D182" s="9" t="s">
        <v>240</v>
      </c>
      <c r="E182" s="9" t="s">
        <v>386</v>
      </c>
      <c r="F182" s="11" t="s">
        <v>400</v>
      </c>
      <c r="G182" s="11" t="s">
        <v>917</v>
      </c>
      <c r="H182" s="11" t="s">
        <v>918</v>
      </c>
      <c r="I182" s="11"/>
      <c r="J182" s="11" t="s">
        <v>919</v>
      </c>
      <c r="K182" s="9" t="s">
        <v>391</v>
      </c>
    </row>
    <row r="183" customFormat="false" ht="57.45" hidden="false" customHeight="false" outlineLevel="0" collapsed="false">
      <c r="A183" s="9" t="s">
        <v>14</v>
      </c>
      <c r="B183" s="9" t="s">
        <v>13</v>
      </c>
      <c r="C183" s="9" t="s">
        <v>239</v>
      </c>
      <c r="D183" s="9" t="s">
        <v>240</v>
      </c>
      <c r="E183" s="9" t="s">
        <v>386</v>
      </c>
      <c r="F183" s="11" t="s">
        <v>400</v>
      </c>
      <c r="G183" s="11" t="s">
        <v>920</v>
      </c>
      <c r="H183" s="11" t="s">
        <v>921</v>
      </c>
      <c r="I183" s="11"/>
      <c r="J183" s="11" t="s">
        <v>922</v>
      </c>
      <c r="K183" s="9" t="s">
        <v>391</v>
      </c>
    </row>
    <row r="184" customFormat="false" ht="57.45" hidden="false" customHeight="false" outlineLevel="0" collapsed="false">
      <c r="A184" s="9" t="s">
        <v>14</v>
      </c>
      <c r="B184" s="9" t="s">
        <v>13</v>
      </c>
      <c r="C184" s="9" t="s">
        <v>239</v>
      </c>
      <c r="D184" s="9" t="s">
        <v>240</v>
      </c>
      <c r="E184" s="9" t="s">
        <v>386</v>
      </c>
      <c r="F184" s="11" t="s">
        <v>387</v>
      </c>
      <c r="G184" s="11" t="s">
        <v>923</v>
      </c>
      <c r="H184" s="11" t="s">
        <v>924</v>
      </c>
      <c r="I184" s="11"/>
      <c r="J184" s="11" t="s">
        <v>925</v>
      </c>
      <c r="K184" s="9" t="s">
        <v>391</v>
      </c>
    </row>
    <row r="185" customFormat="false" ht="57.45" hidden="false" customHeight="false" outlineLevel="0" collapsed="false">
      <c r="A185" s="9" t="s">
        <v>14</v>
      </c>
      <c r="B185" s="9" t="s">
        <v>13</v>
      </c>
      <c r="C185" s="9" t="s">
        <v>239</v>
      </c>
      <c r="D185" s="9" t="s">
        <v>240</v>
      </c>
      <c r="E185" s="9" t="s">
        <v>386</v>
      </c>
      <c r="F185" s="11" t="s">
        <v>387</v>
      </c>
      <c r="G185" s="11" t="s">
        <v>926</v>
      </c>
      <c r="H185" s="11" t="s">
        <v>927</v>
      </c>
      <c r="I185" s="11"/>
      <c r="J185" s="11" t="s">
        <v>928</v>
      </c>
      <c r="K185" s="9" t="s">
        <v>391</v>
      </c>
    </row>
    <row r="186" customFormat="false" ht="35.05" hidden="false" customHeight="false" outlineLevel="0" collapsed="false">
      <c r="A186" s="9" t="s">
        <v>14</v>
      </c>
      <c r="B186" s="9" t="s">
        <v>13</v>
      </c>
      <c r="C186" s="9" t="s">
        <v>239</v>
      </c>
      <c r="D186" s="9" t="s">
        <v>240</v>
      </c>
      <c r="E186" s="9" t="s">
        <v>386</v>
      </c>
      <c r="F186" s="11" t="s">
        <v>396</v>
      </c>
      <c r="G186" s="11" t="s">
        <v>929</v>
      </c>
      <c r="H186" s="11" t="s">
        <v>930</v>
      </c>
      <c r="I186" s="11"/>
      <c r="J186" s="11" t="s">
        <v>931</v>
      </c>
      <c r="K186" s="9" t="s">
        <v>391</v>
      </c>
    </row>
    <row r="187" customFormat="false" ht="46.25" hidden="false" customHeight="false" outlineLevel="0" collapsed="false">
      <c r="A187" s="9" t="s">
        <v>14</v>
      </c>
      <c r="B187" s="9" t="s">
        <v>13</v>
      </c>
      <c r="C187" s="9" t="s">
        <v>239</v>
      </c>
      <c r="D187" s="9" t="s">
        <v>240</v>
      </c>
      <c r="E187" s="9" t="s">
        <v>386</v>
      </c>
      <c r="F187" s="11" t="s">
        <v>441</v>
      </c>
      <c r="G187" s="11" t="s">
        <v>932</v>
      </c>
      <c r="H187" s="11" t="s">
        <v>933</v>
      </c>
      <c r="I187" s="11"/>
      <c r="J187" s="11" t="s">
        <v>934</v>
      </c>
      <c r="K187" s="9" t="s">
        <v>391</v>
      </c>
    </row>
    <row r="188" customFormat="false" ht="68.65" hidden="false" customHeight="false" outlineLevel="0" collapsed="false">
      <c r="A188" s="9" t="s">
        <v>14</v>
      </c>
      <c r="B188" s="9" t="s">
        <v>13</v>
      </c>
      <c r="C188" s="9" t="s">
        <v>239</v>
      </c>
      <c r="D188" s="9" t="s">
        <v>240</v>
      </c>
      <c r="E188" s="9" t="s">
        <v>465</v>
      </c>
      <c r="F188" s="11" t="s">
        <v>466</v>
      </c>
      <c r="G188" s="11" t="s">
        <v>935</v>
      </c>
      <c r="H188" s="11" t="s">
        <v>936</v>
      </c>
      <c r="I188" s="11"/>
      <c r="J188" s="11" t="s">
        <v>937</v>
      </c>
      <c r="K188" s="9" t="s">
        <v>391</v>
      </c>
    </row>
    <row r="189" customFormat="false" ht="57.45" hidden="false" customHeight="false" outlineLevel="0" collapsed="false">
      <c r="A189" s="9" t="s">
        <v>14</v>
      </c>
      <c r="B189" s="9" t="s">
        <v>15</v>
      </c>
      <c r="C189" s="9" t="s">
        <v>73</v>
      </c>
      <c r="D189" s="9" t="s">
        <v>74</v>
      </c>
      <c r="E189" s="9" t="s">
        <v>386</v>
      </c>
      <c r="F189" s="11" t="s">
        <v>938</v>
      </c>
      <c r="G189" s="11" t="s">
        <v>939</v>
      </c>
      <c r="H189" s="11" t="s">
        <v>940</v>
      </c>
      <c r="I189" s="11"/>
      <c r="J189" s="11" t="s">
        <v>941</v>
      </c>
      <c r="K189" s="9" t="s">
        <v>391</v>
      </c>
    </row>
    <row r="190" customFormat="false" ht="57.45" hidden="false" customHeight="false" outlineLevel="0" collapsed="false">
      <c r="A190" s="9" t="s">
        <v>14</v>
      </c>
      <c r="B190" s="9" t="s">
        <v>15</v>
      </c>
      <c r="C190" s="9" t="s">
        <v>73</v>
      </c>
      <c r="D190" s="9" t="s">
        <v>74</v>
      </c>
      <c r="E190" s="9" t="s">
        <v>386</v>
      </c>
      <c r="F190" s="11" t="s">
        <v>387</v>
      </c>
      <c r="G190" s="11" t="s">
        <v>942</v>
      </c>
      <c r="H190" s="11" t="s">
        <v>943</v>
      </c>
      <c r="I190" s="11"/>
      <c r="J190" s="11" t="s">
        <v>944</v>
      </c>
      <c r="K190" s="9" t="s">
        <v>391</v>
      </c>
    </row>
    <row r="191" customFormat="false" ht="57.45" hidden="false" customHeight="false" outlineLevel="0" collapsed="false">
      <c r="A191" s="9" t="s">
        <v>14</v>
      </c>
      <c r="B191" s="9" t="s">
        <v>15</v>
      </c>
      <c r="C191" s="9" t="s">
        <v>73</v>
      </c>
      <c r="D191" s="9" t="s">
        <v>74</v>
      </c>
      <c r="E191" s="9" t="s">
        <v>386</v>
      </c>
      <c r="F191" s="11" t="s">
        <v>410</v>
      </c>
      <c r="G191" s="11" t="s">
        <v>945</v>
      </c>
      <c r="H191" s="11" t="s">
        <v>946</v>
      </c>
      <c r="I191" s="11"/>
      <c r="J191" s="11" t="s">
        <v>947</v>
      </c>
      <c r="K191" s="9" t="s">
        <v>391</v>
      </c>
    </row>
    <row r="192" customFormat="false" ht="57.45" hidden="false" customHeight="false" outlineLevel="0" collapsed="false">
      <c r="A192" s="9" t="s">
        <v>14</v>
      </c>
      <c r="B192" s="9" t="s">
        <v>15</v>
      </c>
      <c r="C192" s="9" t="s">
        <v>73</v>
      </c>
      <c r="D192" s="9" t="s">
        <v>74</v>
      </c>
      <c r="E192" s="9" t="s">
        <v>386</v>
      </c>
      <c r="F192" s="11" t="s">
        <v>410</v>
      </c>
      <c r="G192" s="11" t="s">
        <v>948</v>
      </c>
      <c r="H192" s="11" t="s">
        <v>949</v>
      </c>
      <c r="I192" s="11"/>
      <c r="J192" s="11" t="s">
        <v>944</v>
      </c>
      <c r="K192" s="9" t="s">
        <v>391</v>
      </c>
    </row>
    <row r="193" customFormat="false" ht="57.45" hidden="false" customHeight="false" outlineLevel="0" collapsed="false">
      <c r="A193" s="9" t="s">
        <v>14</v>
      </c>
      <c r="B193" s="9" t="s">
        <v>15</v>
      </c>
      <c r="C193" s="9" t="s">
        <v>73</v>
      </c>
      <c r="D193" s="9" t="s">
        <v>74</v>
      </c>
      <c r="E193" s="9" t="s">
        <v>386</v>
      </c>
      <c r="F193" s="11" t="s">
        <v>950</v>
      </c>
      <c r="G193" s="11" t="s">
        <v>951</v>
      </c>
      <c r="H193" s="11" t="s">
        <v>952</v>
      </c>
      <c r="I193" s="11"/>
      <c r="J193" s="11" t="s">
        <v>944</v>
      </c>
      <c r="K193" s="9" t="s">
        <v>391</v>
      </c>
    </row>
    <row r="194" customFormat="false" ht="46.25" hidden="false" customHeight="false" outlineLevel="0" collapsed="false">
      <c r="A194" s="9" t="s">
        <v>14</v>
      </c>
      <c r="B194" s="9" t="s">
        <v>15</v>
      </c>
      <c r="C194" s="9" t="s">
        <v>73</v>
      </c>
      <c r="D194" s="9" t="s">
        <v>74</v>
      </c>
      <c r="E194" s="9" t="s">
        <v>386</v>
      </c>
      <c r="F194" s="11" t="s">
        <v>392</v>
      </c>
      <c r="G194" s="11" t="s">
        <v>953</v>
      </c>
      <c r="H194" s="11" t="s">
        <v>954</v>
      </c>
      <c r="I194" s="11"/>
      <c r="J194" s="11" t="s">
        <v>955</v>
      </c>
      <c r="K194" s="9" t="s">
        <v>391</v>
      </c>
    </row>
    <row r="195" customFormat="false" ht="46.25" hidden="false" customHeight="false" outlineLevel="0" collapsed="false">
      <c r="A195" s="9" t="s">
        <v>14</v>
      </c>
      <c r="B195" s="9" t="s">
        <v>15</v>
      </c>
      <c r="C195" s="9" t="s">
        <v>73</v>
      </c>
      <c r="D195" s="9" t="s">
        <v>74</v>
      </c>
      <c r="E195" s="9" t="s">
        <v>386</v>
      </c>
      <c r="F195" s="11" t="s">
        <v>392</v>
      </c>
      <c r="G195" s="11" t="s">
        <v>956</v>
      </c>
      <c r="H195" s="11" t="s">
        <v>957</v>
      </c>
      <c r="I195" s="11"/>
      <c r="J195" s="11" t="s">
        <v>955</v>
      </c>
      <c r="K195" s="9" t="s">
        <v>391</v>
      </c>
    </row>
    <row r="196" customFormat="false" ht="46.25" hidden="false" customHeight="false" outlineLevel="0" collapsed="false">
      <c r="A196" s="9" t="s">
        <v>14</v>
      </c>
      <c r="B196" s="9" t="s">
        <v>15</v>
      </c>
      <c r="C196" s="9" t="s">
        <v>73</v>
      </c>
      <c r="D196" s="9" t="s">
        <v>74</v>
      </c>
      <c r="E196" s="9" t="s">
        <v>386</v>
      </c>
      <c r="F196" s="11" t="s">
        <v>392</v>
      </c>
      <c r="G196" s="11" t="s">
        <v>958</v>
      </c>
      <c r="H196" s="11" t="s">
        <v>959</v>
      </c>
      <c r="I196" s="11"/>
      <c r="J196" s="11" t="s">
        <v>955</v>
      </c>
      <c r="K196" s="9" t="s">
        <v>391</v>
      </c>
    </row>
    <row r="197" customFormat="false" ht="57.45" hidden="false" customHeight="false" outlineLevel="0" collapsed="false">
      <c r="A197" s="9" t="s">
        <v>14</v>
      </c>
      <c r="B197" s="9" t="s">
        <v>15</v>
      </c>
      <c r="C197" s="9" t="s">
        <v>73</v>
      </c>
      <c r="D197" s="9" t="s">
        <v>74</v>
      </c>
      <c r="E197" s="9" t="s">
        <v>386</v>
      </c>
      <c r="F197" s="11" t="s">
        <v>392</v>
      </c>
      <c r="G197" s="11" t="s">
        <v>960</v>
      </c>
      <c r="H197" s="11" t="s">
        <v>961</v>
      </c>
      <c r="I197" s="11"/>
      <c r="J197" s="11" t="s">
        <v>962</v>
      </c>
      <c r="K197" s="9" t="s">
        <v>391</v>
      </c>
    </row>
    <row r="198" customFormat="false" ht="57.45" hidden="false" customHeight="false" outlineLevel="0" collapsed="false">
      <c r="A198" s="9" t="s">
        <v>14</v>
      </c>
      <c r="B198" s="9" t="s">
        <v>15</v>
      </c>
      <c r="C198" s="9" t="s">
        <v>73</v>
      </c>
      <c r="D198" s="9" t="s">
        <v>74</v>
      </c>
      <c r="E198" s="9" t="s">
        <v>386</v>
      </c>
      <c r="F198" s="11" t="s">
        <v>392</v>
      </c>
      <c r="G198" s="11" t="s">
        <v>963</v>
      </c>
      <c r="H198" s="11" t="s">
        <v>964</v>
      </c>
      <c r="I198" s="11"/>
      <c r="J198" s="11" t="s">
        <v>965</v>
      </c>
      <c r="K198" s="9" t="s">
        <v>391</v>
      </c>
    </row>
    <row r="199" customFormat="false" ht="57.45" hidden="false" customHeight="false" outlineLevel="0" collapsed="false">
      <c r="A199" s="9" t="s">
        <v>14</v>
      </c>
      <c r="B199" s="9" t="s">
        <v>15</v>
      </c>
      <c r="C199" s="9" t="s">
        <v>73</v>
      </c>
      <c r="D199" s="9" t="s">
        <v>74</v>
      </c>
      <c r="E199" s="9" t="s">
        <v>386</v>
      </c>
      <c r="F199" s="11" t="s">
        <v>767</v>
      </c>
      <c r="G199" s="11" t="s">
        <v>966</v>
      </c>
      <c r="H199" s="11" t="s">
        <v>967</v>
      </c>
      <c r="I199" s="11"/>
      <c r="J199" s="11" t="s">
        <v>965</v>
      </c>
      <c r="K199" s="9" t="s">
        <v>391</v>
      </c>
    </row>
    <row r="200" customFormat="false" ht="46.25" hidden="false" customHeight="false" outlineLevel="0" collapsed="false">
      <c r="A200" s="9" t="s">
        <v>14</v>
      </c>
      <c r="B200" s="9" t="s">
        <v>15</v>
      </c>
      <c r="C200" s="9" t="s">
        <v>73</v>
      </c>
      <c r="D200" s="9" t="s">
        <v>74</v>
      </c>
      <c r="E200" s="9" t="s">
        <v>386</v>
      </c>
      <c r="F200" s="11" t="s">
        <v>938</v>
      </c>
      <c r="G200" s="11" t="s">
        <v>968</v>
      </c>
      <c r="H200" s="11" t="s">
        <v>969</v>
      </c>
      <c r="I200" s="11"/>
      <c r="J200" s="11" t="s">
        <v>970</v>
      </c>
      <c r="K200" s="9" t="s">
        <v>391</v>
      </c>
    </row>
    <row r="201" customFormat="false" ht="35.05" hidden="false" customHeight="false" outlineLevel="0" collapsed="false">
      <c r="A201" s="9" t="s">
        <v>14</v>
      </c>
      <c r="B201" s="9" t="s">
        <v>15</v>
      </c>
      <c r="C201" s="9" t="s">
        <v>73</v>
      </c>
      <c r="D201" s="9" t="s">
        <v>74</v>
      </c>
      <c r="E201" s="9" t="s">
        <v>386</v>
      </c>
      <c r="F201" s="11" t="s">
        <v>613</v>
      </c>
      <c r="G201" s="11" t="s">
        <v>971</v>
      </c>
      <c r="H201" s="11" t="s">
        <v>972</v>
      </c>
      <c r="I201" s="11"/>
      <c r="J201" s="11" t="s">
        <v>973</v>
      </c>
      <c r="K201" s="9" t="s">
        <v>391</v>
      </c>
    </row>
    <row r="202" customFormat="false" ht="57.45" hidden="false" customHeight="false" outlineLevel="0" collapsed="false">
      <c r="A202" s="9" t="s">
        <v>14</v>
      </c>
      <c r="B202" s="9" t="s">
        <v>15</v>
      </c>
      <c r="C202" s="9" t="s">
        <v>73</v>
      </c>
      <c r="D202" s="9" t="s">
        <v>74</v>
      </c>
      <c r="E202" s="9" t="s">
        <v>386</v>
      </c>
      <c r="F202" s="11" t="s">
        <v>974</v>
      </c>
      <c r="G202" s="11" t="s">
        <v>975</v>
      </c>
      <c r="H202" s="11" t="s">
        <v>976</v>
      </c>
      <c r="I202" s="11"/>
      <c r="J202" s="11" t="s">
        <v>977</v>
      </c>
      <c r="K202" s="9" t="s">
        <v>391</v>
      </c>
    </row>
    <row r="203" customFormat="false" ht="46.25" hidden="false" customHeight="false" outlineLevel="0" collapsed="false">
      <c r="A203" s="9" t="s">
        <v>14</v>
      </c>
      <c r="B203" s="9" t="s">
        <v>15</v>
      </c>
      <c r="C203" s="9" t="s">
        <v>73</v>
      </c>
      <c r="D203" s="9" t="s">
        <v>74</v>
      </c>
      <c r="E203" s="9" t="s">
        <v>386</v>
      </c>
      <c r="F203" s="11" t="s">
        <v>400</v>
      </c>
      <c r="G203" s="11" t="s">
        <v>978</v>
      </c>
      <c r="H203" s="11" t="s">
        <v>979</v>
      </c>
      <c r="I203" s="11"/>
      <c r="J203" s="11" t="s">
        <v>980</v>
      </c>
      <c r="K203" s="9" t="s">
        <v>391</v>
      </c>
    </row>
    <row r="204" customFormat="false" ht="57.45" hidden="false" customHeight="false" outlineLevel="0" collapsed="false">
      <c r="A204" s="9" t="s">
        <v>14</v>
      </c>
      <c r="B204" s="9" t="s">
        <v>15</v>
      </c>
      <c r="C204" s="9" t="s">
        <v>73</v>
      </c>
      <c r="D204" s="9" t="s">
        <v>74</v>
      </c>
      <c r="E204" s="9" t="s">
        <v>386</v>
      </c>
      <c r="F204" s="11" t="s">
        <v>448</v>
      </c>
      <c r="G204" s="11" t="s">
        <v>981</v>
      </c>
      <c r="H204" s="11" t="s">
        <v>982</v>
      </c>
      <c r="I204" s="11"/>
      <c r="J204" s="11" t="s">
        <v>983</v>
      </c>
      <c r="K204" s="9" t="s">
        <v>391</v>
      </c>
    </row>
    <row r="205" customFormat="false" ht="57.45" hidden="false" customHeight="false" outlineLevel="0" collapsed="false">
      <c r="A205" s="9" t="s">
        <v>14</v>
      </c>
      <c r="B205" s="9" t="s">
        <v>15</v>
      </c>
      <c r="C205" s="9" t="s">
        <v>73</v>
      </c>
      <c r="D205" s="9" t="s">
        <v>74</v>
      </c>
      <c r="E205" s="9" t="s">
        <v>386</v>
      </c>
      <c r="F205" s="11" t="s">
        <v>767</v>
      </c>
      <c r="G205" s="11" t="s">
        <v>984</v>
      </c>
      <c r="H205" s="11" t="s">
        <v>985</v>
      </c>
      <c r="I205" s="11"/>
      <c r="J205" s="11" t="s">
        <v>983</v>
      </c>
      <c r="K205" s="9" t="s">
        <v>391</v>
      </c>
    </row>
    <row r="206" customFormat="false" ht="57.45" hidden="false" customHeight="false" outlineLevel="0" collapsed="false">
      <c r="A206" s="9" t="s">
        <v>14</v>
      </c>
      <c r="B206" s="9" t="s">
        <v>15</v>
      </c>
      <c r="C206" s="9" t="s">
        <v>73</v>
      </c>
      <c r="D206" s="9" t="s">
        <v>74</v>
      </c>
      <c r="E206" s="9" t="s">
        <v>386</v>
      </c>
      <c r="F206" s="11" t="s">
        <v>387</v>
      </c>
      <c r="G206" s="11" t="s">
        <v>986</v>
      </c>
      <c r="H206" s="11" t="s">
        <v>987</v>
      </c>
      <c r="I206" s="11"/>
      <c r="J206" s="11" t="s">
        <v>983</v>
      </c>
      <c r="K206" s="9" t="s">
        <v>391</v>
      </c>
    </row>
    <row r="207" customFormat="false" ht="57.45" hidden="false" customHeight="false" outlineLevel="0" collapsed="false">
      <c r="A207" s="9" t="s">
        <v>14</v>
      </c>
      <c r="B207" s="9" t="s">
        <v>15</v>
      </c>
      <c r="C207" s="9" t="s">
        <v>73</v>
      </c>
      <c r="D207" s="9" t="s">
        <v>74</v>
      </c>
      <c r="E207" s="9" t="s">
        <v>386</v>
      </c>
      <c r="F207" s="11" t="s">
        <v>410</v>
      </c>
      <c r="G207" s="11" t="s">
        <v>988</v>
      </c>
      <c r="H207" s="11" t="s">
        <v>989</v>
      </c>
      <c r="I207" s="11"/>
      <c r="J207" s="11" t="s">
        <v>990</v>
      </c>
      <c r="K207" s="9" t="s">
        <v>391</v>
      </c>
    </row>
    <row r="208" customFormat="false" ht="57.45" hidden="false" customHeight="false" outlineLevel="0" collapsed="false">
      <c r="A208" s="9" t="s">
        <v>14</v>
      </c>
      <c r="B208" s="9" t="s">
        <v>15</v>
      </c>
      <c r="C208" s="9" t="s">
        <v>73</v>
      </c>
      <c r="D208" s="9" t="s">
        <v>74</v>
      </c>
      <c r="E208" s="9" t="s">
        <v>386</v>
      </c>
      <c r="F208" s="11" t="s">
        <v>387</v>
      </c>
      <c r="G208" s="11" t="s">
        <v>991</v>
      </c>
      <c r="H208" s="11" t="s">
        <v>992</v>
      </c>
      <c r="I208" s="11"/>
      <c r="J208" s="11" t="s">
        <v>993</v>
      </c>
      <c r="K208" s="9" t="s">
        <v>391</v>
      </c>
    </row>
    <row r="209" customFormat="false" ht="68.65" hidden="false" customHeight="false" outlineLevel="0" collapsed="false">
      <c r="A209" s="9" t="s">
        <v>14</v>
      </c>
      <c r="B209" s="9" t="s">
        <v>15</v>
      </c>
      <c r="C209" s="9" t="s">
        <v>73</v>
      </c>
      <c r="D209" s="9" t="s">
        <v>74</v>
      </c>
      <c r="E209" s="9" t="s">
        <v>465</v>
      </c>
      <c r="F209" s="11" t="s">
        <v>466</v>
      </c>
      <c r="G209" s="11" t="s">
        <v>994</v>
      </c>
      <c r="H209" s="11" t="s">
        <v>995</v>
      </c>
      <c r="I209" s="11"/>
      <c r="J209" s="11" t="s">
        <v>996</v>
      </c>
      <c r="K209" s="9" t="s">
        <v>391</v>
      </c>
    </row>
    <row r="210" customFormat="false" ht="46.25" hidden="false" customHeight="false" outlineLevel="0" collapsed="false">
      <c r="A210" s="9" t="s">
        <v>14</v>
      </c>
      <c r="B210" s="9" t="s">
        <v>15</v>
      </c>
      <c r="C210" s="9" t="s">
        <v>70</v>
      </c>
      <c r="D210" s="9" t="s">
        <v>71</v>
      </c>
      <c r="E210" s="9" t="s">
        <v>386</v>
      </c>
      <c r="F210" s="11" t="s">
        <v>938</v>
      </c>
      <c r="G210" s="11" t="s">
        <v>997</v>
      </c>
      <c r="H210" s="11" t="s">
        <v>998</v>
      </c>
      <c r="I210" s="11"/>
      <c r="J210" s="11" t="s">
        <v>999</v>
      </c>
      <c r="K210" s="9" t="s">
        <v>391</v>
      </c>
    </row>
    <row r="211" customFormat="false" ht="46.25" hidden="false" customHeight="false" outlineLevel="0" collapsed="false">
      <c r="A211" s="9" t="s">
        <v>14</v>
      </c>
      <c r="B211" s="9" t="s">
        <v>15</v>
      </c>
      <c r="C211" s="9" t="s">
        <v>70</v>
      </c>
      <c r="D211" s="9" t="s">
        <v>71</v>
      </c>
      <c r="E211" s="9" t="s">
        <v>386</v>
      </c>
      <c r="F211" s="11" t="s">
        <v>400</v>
      </c>
      <c r="G211" s="11" t="s">
        <v>1000</v>
      </c>
      <c r="H211" s="11" t="s">
        <v>1001</v>
      </c>
      <c r="I211" s="11"/>
      <c r="J211" s="11" t="s">
        <v>1002</v>
      </c>
      <c r="K211" s="9" t="s">
        <v>391</v>
      </c>
    </row>
    <row r="212" customFormat="false" ht="35.05" hidden="false" customHeight="false" outlineLevel="0" collapsed="false">
      <c r="A212" s="9" t="s">
        <v>14</v>
      </c>
      <c r="B212" s="9" t="s">
        <v>15</v>
      </c>
      <c r="C212" s="9" t="s">
        <v>70</v>
      </c>
      <c r="D212" s="9" t="s">
        <v>71</v>
      </c>
      <c r="E212" s="9" t="s">
        <v>386</v>
      </c>
      <c r="F212" s="11" t="s">
        <v>400</v>
      </c>
      <c r="G212" s="11" t="s">
        <v>1003</v>
      </c>
      <c r="H212" s="11" t="s">
        <v>1004</v>
      </c>
      <c r="I212" s="11"/>
      <c r="J212" s="11" t="s">
        <v>1005</v>
      </c>
      <c r="K212" s="9" t="s">
        <v>391</v>
      </c>
    </row>
    <row r="213" customFormat="false" ht="35.05" hidden="false" customHeight="false" outlineLevel="0" collapsed="false">
      <c r="A213" s="9" t="s">
        <v>14</v>
      </c>
      <c r="B213" s="9" t="s">
        <v>15</v>
      </c>
      <c r="C213" s="9" t="s">
        <v>70</v>
      </c>
      <c r="D213" s="9" t="s">
        <v>71</v>
      </c>
      <c r="E213" s="9" t="s">
        <v>386</v>
      </c>
      <c r="F213" s="11" t="s">
        <v>392</v>
      </c>
      <c r="G213" s="11" t="s">
        <v>1006</v>
      </c>
      <c r="H213" s="11" t="s">
        <v>1007</v>
      </c>
      <c r="I213" s="11"/>
      <c r="J213" s="11" t="s">
        <v>1008</v>
      </c>
      <c r="K213" s="9" t="s">
        <v>391</v>
      </c>
    </row>
    <row r="214" customFormat="false" ht="35.05" hidden="false" customHeight="false" outlineLevel="0" collapsed="false">
      <c r="A214" s="9" t="s">
        <v>14</v>
      </c>
      <c r="B214" s="9" t="s">
        <v>15</v>
      </c>
      <c r="C214" s="9" t="s">
        <v>70</v>
      </c>
      <c r="D214" s="9" t="s">
        <v>71</v>
      </c>
      <c r="E214" s="9" t="s">
        <v>386</v>
      </c>
      <c r="F214" s="11" t="s">
        <v>392</v>
      </c>
      <c r="G214" s="11" t="s">
        <v>1009</v>
      </c>
      <c r="H214" s="11" t="s">
        <v>1010</v>
      </c>
      <c r="I214" s="11"/>
      <c r="J214" s="11" t="s">
        <v>1008</v>
      </c>
      <c r="K214" s="9" t="s">
        <v>391</v>
      </c>
    </row>
    <row r="215" customFormat="false" ht="35.05" hidden="false" customHeight="false" outlineLevel="0" collapsed="false">
      <c r="A215" s="9" t="s">
        <v>14</v>
      </c>
      <c r="B215" s="9" t="s">
        <v>15</v>
      </c>
      <c r="C215" s="9" t="s">
        <v>70</v>
      </c>
      <c r="D215" s="9" t="s">
        <v>71</v>
      </c>
      <c r="E215" s="9" t="s">
        <v>386</v>
      </c>
      <c r="F215" s="11" t="s">
        <v>392</v>
      </c>
      <c r="G215" s="11" t="s">
        <v>1011</v>
      </c>
      <c r="H215" s="11" t="s">
        <v>1012</v>
      </c>
      <c r="I215" s="11"/>
      <c r="J215" s="11" t="s">
        <v>1013</v>
      </c>
      <c r="K215" s="9" t="s">
        <v>391</v>
      </c>
    </row>
    <row r="216" customFormat="false" ht="35.05" hidden="false" customHeight="false" outlineLevel="0" collapsed="false">
      <c r="A216" s="9" t="s">
        <v>14</v>
      </c>
      <c r="B216" s="9" t="s">
        <v>15</v>
      </c>
      <c r="C216" s="9" t="s">
        <v>70</v>
      </c>
      <c r="D216" s="9" t="s">
        <v>71</v>
      </c>
      <c r="E216" s="9" t="s">
        <v>386</v>
      </c>
      <c r="F216" s="11" t="s">
        <v>419</v>
      </c>
      <c r="G216" s="11" t="s">
        <v>1014</v>
      </c>
      <c r="H216" s="11" t="s">
        <v>1015</v>
      </c>
      <c r="I216" s="11"/>
      <c r="J216" s="11" t="s">
        <v>1008</v>
      </c>
      <c r="K216" s="9" t="s">
        <v>391</v>
      </c>
    </row>
    <row r="217" customFormat="false" ht="46.25" hidden="false" customHeight="false" outlineLevel="0" collapsed="false">
      <c r="A217" s="9" t="s">
        <v>14</v>
      </c>
      <c r="B217" s="9" t="s">
        <v>15</v>
      </c>
      <c r="C217" s="9" t="s">
        <v>70</v>
      </c>
      <c r="D217" s="9" t="s">
        <v>71</v>
      </c>
      <c r="E217" s="9" t="s">
        <v>386</v>
      </c>
      <c r="F217" s="11" t="s">
        <v>767</v>
      </c>
      <c r="G217" s="11" t="s">
        <v>1016</v>
      </c>
      <c r="H217" s="11" t="s">
        <v>1017</v>
      </c>
      <c r="I217" s="11"/>
      <c r="J217" s="11" t="s">
        <v>999</v>
      </c>
      <c r="K217" s="9" t="s">
        <v>391</v>
      </c>
    </row>
    <row r="218" customFormat="false" ht="57.45" hidden="false" customHeight="false" outlineLevel="0" collapsed="false">
      <c r="A218" s="9" t="s">
        <v>14</v>
      </c>
      <c r="B218" s="9" t="s">
        <v>15</v>
      </c>
      <c r="C218" s="9" t="s">
        <v>70</v>
      </c>
      <c r="D218" s="9" t="s">
        <v>71</v>
      </c>
      <c r="E218" s="9" t="s">
        <v>386</v>
      </c>
      <c r="F218" s="11" t="s">
        <v>767</v>
      </c>
      <c r="G218" s="11" t="s">
        <v>1018</v>
      </c>
      <c r="H218" s="11" t="s">
        <v>1019</v>
      </c>
      <c r="I218" s="11"/>
      <c r="J218" s="11" t="s">
        <v>1020</v>
      </c>
      <c r="K218" s="9" t="s">
        <v>391</v>
      </c>
    </row>
    <row r="219" customFormat="false" ht="46.25" hidden="false" customHeight="false" outlineLevel="0" collapsed="false">
      <c r="A219" s="9" t="s">
        <v>14</v>
      </c>
      <c r="B219" s="9" t="s">
        <v>15</v>
      </c>
      <c r="C219" s="9" t="s">
        <v>70</v>
      </c>
      <c r="D219" s="9" t="s">
        <v>71</v>
      </c>
      <c r="E219" s="9" t="s">
        <v>386</v>
      </c>
      <c r="F219" s="11" t="s">
        <v>938</v>
      </c>
      <c r="G219" s="11" t="s">
        <v>1021</v>
      </c>
      <c r="H219" s="11" t="s">
        <v>1022</v>
      </c>
      <c r="I219" s="11"/>
      <c r="J219" s="11" t="s">
        <v>999</v>
      </c>
      <c r="K219" s="9" t="s">
        <v>391</v>
      </c>
    </row>
    <row r="220" customFormat="false" ht="46.25" hidden="false" customHeight="false" outlineLevel="0" collapsed="false">
      <c r="A220" s="9" t="s">
        <v>14</v>
      </c>
      <c r="B220" s="9" t="s">
        <v>15</v>
      </c>
      <c r="C220" s="9" t="s">
        <v>70</v>
      </c>
      <c r="D220" s="9" t="s">
        <v>71</v>
      </c>
      <c r="E220" s="9" t="s">
        <v>386</v>
      </c>
      <c r="F220" s="11" t="s">
        <v>410</v>
      </c>
      <c r="G220" s="11" t="s">
        <v>1023</v>
      </c>
      <c r="H220" s="11" t="s">
        <v>1024</v>
      </c>
      <c r="I220" s="11"/>
      <c r="J220" s="11" t="s">
        <v>1025</v>
      </c>
      <c r="K220" s="9" t="s">
        <v>391</v>
      </c>
    </row>
    <row r="221" customFormat="false" ht="46.25" hidden="false" customHeight="false" outlineLevel="0" collapsed="false">
      <c r="A221" s="9" t="s">
        <v>14</v>
      </c>
      <c r="B221" s="9" t="s">
        <v>15</v>
      </c>
      <c r="C221" s="9" t="s">
        <v>70</v>
      </c>
      <c r="D221" s="9" t="s">
        <v>71</v>
      </c>
      <c r="E221" s="9" t="s">
        <v>386</v>
      </c>
      <c r="F221" s="11" t="s">
        <v>410</v>
      </c>
      <c r="G221" s="11" t="s">
        <v>1026</v>
      </c>
      <c r="H221" s="11" t="s">
        <v>1027</v>
      </c>
      <c r="I221" s="11"/>
      <c r="J221" s="11" t="s">
        <v>1028</v>
      </c>
      <c r="K221" s="9" t="s">
        <v>391</v>
      </c>
    </row>
    <row r="222" customFormat="false" ht="46.25" hidden="false" customHeight="false" outlineLevel="0" collapsed="false">
      <c r="A222" s="9" t="s">
        <v>14</v>
      </c>
      <c r="B222" s="9" t="s">
        <v>15</v>
      </c>
      <c r="C222" s="9" t="s">
        <v>70</v>
      </c>
      <c r="D222" s="9" t="s">
        <v>71</v>
      </c>
      <c r="E222" s="9" t="s">
        <v>386</v>
      </c>
      <c r="F222" s="11" t="s">
        <v>410</v>
      </c>
      <c r="G222" s="11" t="s">
        <v>1029</v>
      </c>
      <c r="H222" s="11" t="s">
        <v>1030</v>
      </c>
      <c r="I222" s="11"/>
      <c r="J222" s="11" t="s">
        <v>1031</v>
      </c>
      <c r="K222" s="9" t="s">
        <v>391</v>
      </c>
    </row>
    <row r="223" customFormat="false" ht="57.45" hidden="false" customHeight="false" outlineLevel="0" collapsed="false">
      <c r="A223" s="9" t="s">
        <v>14</v>
      </c>
      <c r="B223" s="9" t="s">
        <v>15</v>
      </c>
      <c r="C223" s="9" t="s">
        <v>70</v>
      </c>
      <c r="D223" s="9" t="s">
        <v>71</v>
      </c>
      <c r="E223" s="9" t="s">
        <v>386</v>
      </c>
      <c r="F223" s="11" t="s">
        <v>387</v>
      </c>
      <c r="G223" s="11" t="s">
        <v>1032</v>
      </c>
      <c r="H223" s="11" t="s">
        <v>1033</v>
      </c>
      <c r="I223" s="11"/>
      <c r="J223" s="11" t="s">
        <v>1034</v>
      </c>
      <c r="K223" s="9" t="s">
        <v>391</v>
      </c>
    </row>
    <row r="224" customFormat="false" ht="46.25" hidden="false" customHeight="false" outlineLevel="0" collapsed="false">
      <c r="A224" s="9" t="s">
        <v>14</v>
      </c>
      <c r="B224" s="9" t="s">
        <v>15</v>
      </c>
      <c r="C224" s="9" t="s">
        <v>70</v>
      </c>
      <c r="D224" s="9" t="s">
        <v>71</v>
      </c>
      <c r="E224" s="9" t="s">
        <v>386</v>
      </c>
      <c r="F224" s="11" t="s">
        <v>387</v>
      </c>
      <c r="G224" s="11" t="s">
        <v>1035</v>
      </c>
      <c r="H224" s="11" t="s">
        <v>1036</v>
      </c>
      <c r="I224" s="11"/>
      <c r="J224" s="11" t="s">
        <v>1037</v>
      </c>
      <c r="K224" s="9" t="s">
        <v>391</v>
      </c>
    </row>
    <row r="225" customFormat="false" ht="46.25" hidden="false" customHeight="false" outlineLevel="0" collapsed="false">
      <c r="A225" s="9" t="s">
        <v>14</v>
      </c>
      <c r="B225" s="9" t="s">
        <v>15</v>
      </c>
      <c r="C225" s="9" t="s">
        <v>70</v>
      </c>
      <c r="D225" s="9" t="s">
        <v>71</v>
      </c>
      <c r="E225" s="9" t="s">
        <v>386</v>
      </c>
      <c r="F225" s="11" t="s">
        <v>410</v>
      </c>
      <c r="G225" s="11" t="s">
        <v>1038</v>
      </c>
      <c r="H225" s="11" t="s">
        <v>1039</v>
      </c>
      <c r="I225" s="11"/>
      <c r="J225" s="11" t="s">
        <v>1040</v>
      </c>
      <c r="K225" s="9" t="s">
        <v>391</v>
      </c>
    </row>
    <row r="226" customFormat="false" ht="46.25" hidden="false" customHeight="false" outlineLevel="0" collapsed="false">
      <c r="A226" s="9" t="s">
        <v>14</v>
      </c>
      <c r="B226" s="9" t="s">
        <v>15</v>
      </c>
      <c r="C226" s="9" t="s">
        <v>70</v>
      </c>
      <c r="D226" s="9" t="s">
        <v>71</v>
      </c>
      <c r="E226" s="9" t="s">
        <v>386</v>
      </c>
      <c r="F226" s="11" t="s">
        <v>410</v>
      </c>
      <c r="G226" s="11" t="s">
        <v>1041</v>
      </c>
      <c r="H226" s="11" t="s">
        <v>1042</v>
      </c>
      <c r="I226" s="11"/>
      <c r="J226" s="11" t="s">
        <v>1025</v>
      </c>
      <c r="K226" s="9" t="s">
        <v>391</v>
      </c>
    </row>
    <row r="227" customFormat="false" ht="23.85" hidden="false" customHeight="false" outlineLevel="0" collapsed="false">
      <c r="A227" s="9" t="s">
        <v>14</v>
      </c>
      <c r="B227" s="9" t="s">
        <v>15</v>
      </c>
      <c r="C227" s="9" t="s">
        <v>247</v>
      </c>
      <c r="D227" s="9" t="s">
        <v>248</v>
      </c>
      <c r="E227" s="9" t="s">
        <v>386</v>
      </c>
      <c r="F227" s="11" t="s">
        <v>715</v>
      </c>
      <c r="G227" s="11" t="s">
        <v>1043</v>
      </c>
      <c r="H227" s="11" t="s">
        <v>1044</v>
      </c>
      <c r="I227" s="11"/>
      <c r="J227" s="11" t="s">
        <v>1045</v>
      </c>
      <c r="K227" s="9" t="s">
        <v>391</v>
      </c>
    </row>
    <row r="228" customFormat="false" ht="35.05" hidden="false" customHeight="false" outlineLevel="0" collapsed="false">
      <c r="A228" s="9" t="s">
        <v>14</v>
      </c>
      <c r="B228" s="9" t="s">
        <v>15</v>
      </c>
      <c r="C228" s="9" t="s">
        <v>247</v>
      </c>
      <c r="D228" s="9" t="s">
        <v>248</v>
      </c>
      <c r="E228" s="9" t="s">
        <v>386</v>
      </c>
      <c r="F228" s="11" t="s">
        <v>392</v>
      </c>
      <c r="G228" s="11" t="s">
        <v>1046</v>
      </c>
      <c r="H228" s="11" t="s">
        <v>1047</v>
      </c>
      <c r="I228" s="11"/>
      <c r="J228" s="11" t="s">
        <v>1048</v>
      </c>
      <c r="K228" s="9" t="s">
        <v>391</v>
      </c>
    </row>
    <row r="229" customFormat="false" ht="57.45" hidden="false" customHeight="false" outlineLevel="0" collapsed="false">
      <c r="A229" s="9" t="s">
        <v>14</v>
      </c>
      <c r="B229" s="9" t="s">
        <v>15</v>
      </c>
      <c r="C229" s="9" t="s">
        <v>247</v>
      </c>
      <c r="D229" s="9" t="s">
        <v>248</v>
      </c>
      <c r="E229" s="9" t="s">
        <v>386</v>
      </c>
      <c r="F229" s="11" t="s">
        <v>392</v>
      </c>
      <c r="G229" s="11" t="s">
        <v>1049</v>
      </c>
      <c r="H229" s="11" t="s">
        <v>1050</v>
      </c>
      <c r="I229" s="11"/>
      <c r="J229" s="11" t="s">
        <v>1051</v>
      </c>
      <c r="K229" s="9" t="s">
        <v>391</v>
      </c>
    </row>
    <row r="230" customFormat="false" ht="57.45" hidden="false" customHeight="false" outlineLevel="0" collapsed="false">
      <c r="A230" s="9" t="s">
        <v>14</v>
      </c>
      <c r="B230" s="9" t="s">
        <v>15</v>
      </c>
      <c r="C230" s="9" t="s">
        <v>247</v>
      </c>
      <c r="D230" s="9" t="s">
        <v>248</v>
      </c>
      <c r="E230" s="9" t="s">
        <v>386</v>
      </c>
      <c r="F230" s="11" t="s">
        <v>392</v>
      </c>
      <c r="G230" s="11" t="s">
        <v>1052</v>
      </c>
      <c r="H230" s="11" t="s">
        <v>1053</v>
      </c>
      <c r="I230" s="11"/>
      <c r="J230" s="11" t="s">
        <v>1051</v>
      </c>
      <c r="K230" s="9" t="s">
        <v>391</v>
      </c>
    </row>
    <row r="231" customFormat="false" ht="57.45" hidden="false" customHeight="false" outlineLevel="0" collapsed="false">
      <c r="A231" s="9" t="s">
        <v>14</v>
      </c>
      <c r="B231" s="9" t="s">
        <v>15</v>
      </c>
      <c r="C231" s="9" t="s">
        <v>247</v>
      </c>
      <c r="D231" s="9" t="s">
        <v>248</v>
      </c>
      <c r="E231" s="9" t="s">
        <v>386</v>
      </c>
      <c r="F231" s="11" t="s">
        <v>400</v>
      </c>
      <c r="G231" s="11" t="s">
        <v>1054</v>
      </c>
      <c r="H231" s="11" t="s">
        <v>1055</v>
      </c>
      <c r="I231" s="11"/>
      <c r="J231" s="11" t="s">
        <v>1056</v>
      </c>
      <c r="K231" s="9" t="s">
        <v>391</v>
      </c>
    </row>
    <row r="232" customFormat="false" ht="57.45" hidden="false" customHeight="false" outlineLevel="0" collapsed="false">
      <c r="A232" s="9" t="s">
        <v>14</v>
      </c>
      <c r="B232" s="9" t="s">
        <v>15</v>
      </c>
      <c r="C232" s="9" t="s">
        <v>247</v>
      </c>
      <c r="D232" s="9" t="s">
        <v>248</v>
      </c>
      <c r="E232" s="9" t="s">
        <v>386</v>
      </c>
      <c r="F232" s="11" t="s">
        <v>400</v>
      </c>
      <c r="G232" s="11" t="s">
        <v>1057</v>
      </c>
      <c r="H232" s="11" t="s">
        <v>1058</v>
      </c>
      <c r="I232" s="11"/>
      <c r="J232" s="11" t="s">
        <v>1059</v>
      </c>
      <c r="K232" s="9" t="s">
        <v>391</v>
      </c>
    </row>
    <row r="233" customFormat="false" ht="57.45" hidden="false" customHeight="false" outlineLevel="0" collapsed="false">
      <c r="A233" s="9" t="s">
        <v>14</v>
      </c>
      <c r="B233" s="9" t="s">
        <v>15</v>
      </c>
      <c r="C233" s="9" t="s">
        <v>247</v>
      </c>
      <c r="D233" s="9" t="s">
        <v>248</v>
      </c>
      <c r="E233" s="9" t="s">
        <v>386</v>
      </c>
      <c r="F233" s="11" t="s">
        <v>387</v>
      </c>
      <c r="G233" s="11" t="s">
        <v>1060</v>
      </c>
      <c r="H233" s="11" t="s">
        <v>1061</v>
      </c>
      <c r="I233" s="11"/>
      <c r="J233" s="11" t="s">
        <v>1062</v>
      </c>
      <c r="K233" s="9" t="s">
        <v>391</v>
      </c>
    </row>
    <row r="234" customFormat="false" ht="35.05" hidden="false" customHeight="false" outlineLevel="0" collapsed="false">
      <c r="A234" s="9" t="s">
        <v>14</v>
      </c>
      <c r="B234" s="9" t="s">
        <v>15</v>
      </c>
      <c r="C234" s="9" t="s">
        <v>247</v>
      </c>
      <c r="D234" s="9" t="s">
        <v>248</v>
      </c>
      <c r="E234" s="9" t="s">
        <v>386</v>
      </c>
      <c r="F234" s="11" t="s">
        <v>410</v>
      </c>
      <c r="G234" s="11" t="s">
        <v>1063</v>
      </c>
      <c r="H234" s="11" t="s">
        <v>1064</v>
      </c>
      <c r="I234" s="11"/>
      <c r="J234" s="11" t="s">
        <v>1065</v>
      </c>
      <c r="K234" s="9" t="s">
        <v>391</v>
      </c>
    </row>
    <row r="235" customFormat="false" ht="46.25" hidden="false" customHeight="false" outlineLevel="0" collapsed="false">
      <c r="A235" s="9" t="s">
        <v>14</v>
      </c>
      <c r="B235" s="9" t="s">
        <v>15</v>
      </c>
      <c r="C235" s="9" t="s">
        <v>247</v>
      </c>
      <c r="D235" s="9" t="s">
        <v>248</v>
      </c>
      <c r="E235" s="9" t="s">
        <v>386</v>
      </c>
      <c r="F235" s="11" t="s">
        <v>419</v>
      </c>
      <c r="G235" s="11" t="s">
        <v>1066</v>
      </c>
      <c r="H235" s="11" t="s">
        <v>1067</v>
      </c>
      <c r="I235" s="11"/>
      <c r="J235" s="11" t="s">
        <v>1068</v>
      </c>
      <c r="K235" s="9" t="s">
        <v>391</v>
      </c>
    </row>
    <row r="236" customFormat="false" ht="57.45" hidden="false" customHeight="false" outlineLevel="0" collapsed="false">
      <c r="A236" s="9" t="s">
        <v>14</v>
      </c>
      <c r="B236" s="9" t="s">
        <v>15</v>
      </c>
      <c r="C236" s="9" t="s">
        <v>247</v>
      </c>
      <c r="D236" s="9" t="s">
        <v>248</v>
      </c>
      <c r="E236" s="9" t="s">
        <v>386</v>
      </c>
      <c r="F236" s="11" t="s">
        <v>392</v>
      </c>
      <c r="G236" s="11" t="s">
        <v>1069</v>
      </c>
      <c r="H236" s="11" t="s">
        <v>1070</v>
      </c>
      <c r="I236" s="11"/>
      <c r="J236" s="11" t="s">
        <v>1051</v>
      </c>
      <c r="K236" s="9" t="s">
        <v>391</v>
      </c>
    </row>
    <row r="237" customFormat="false" ht="57.45" hidden="false" customHeight="false" outlineLevel="0" collapsed="false">
      <c r="A237" s="9" t="s">
        <v>14</v>
      </c>
      <c r="B237" s="9" t="s">
        <v>15</v>
      </c>
      <c r="C237" s="9" t="s">
        <v>247</v>
      </c>
      <c r="D237" s="9" t="s">
        <v>248</v>
      </c>
      <c r="E237" s="9" t="s">
        <v>386</v>
      </c>
      <c r="F237" s="11" t="s">
        <v>392</v>
      </c>
      <c r="G237" s="11" t="s">
        <v>1071</v>
      </c>
      <c r="H237" s="11" t="s">
        <v>1072</v>
      </c>
      <c r="I237" s="11"/>
      <c r="J237" s="11" t="s">
        <v>1051</v>
      </c>
      <c r="K237" s="9" t="s">
        <v>391</v>
      </c>
    </row>
    <row r="238" customFormat="false" ht="46.25" hidden="false" customHeight="false" outlineLevel="0" collapsed="false">
      <c r="A238" s="9" t="s">
        <v>14</v>
      </c>
      <c r="B238" s="9" t="s">
        <v>15</v>
      </c>
      <c r="C238" s="9" t="s">
        <v>247</v>
      </c>
      <c r="D238" s="9" t="s">
        <v>248</v>
      </c>
      <c r="E238" s="9" t="s">
        <v>386</v>
      </c>
      <c r="F238" s="11" t="s">
        <v>392</v>
      </c>
      <c r="G238" s="11" t="s">
        <v>1073</v>
      </c>
      <c r="H238" s="11" t="s">
        <v>1074</v>
      </c>
      <c r="I238" s="11"/>
      <c r="J238" s="11" t="s">
        <v>1075</v>
      </c>
      <c r="K238" s="9" t="s">
        <v>391</v>
      </c>
    </row>
    <row r="239" customFormat="false" ht="68.65" hidden="false" customHeight="false" outlineLevel="0" collapsed="false">
      <c r="A239" s="9" t="s">
        <v>14</v>
      </c>
      <c r="B239" s="9" t="s">
        <v>15</v>
      </c>
      <c r="C239" s="9" t="s">
        <v>247</v>
      </c>
      <c r="D239" s="9" t="s">
        <v>248</v>
      </c>
      <c r="E239" s="9" t="s">
        <v>465</v>
      </c>
      <c r="F239" s="11" t="s">
        <v>466</v>
      </c>
      <c r="G239" s="11" t="s">
        <v>1076</v>
      </c>
      <c r="H239" s="11" t="s">
        <v>1077</v>
      </c>
      <c r="I239" s="11"/>
      <c r="J239" s="11" t="s">
        <v>1078</v>
      </c>
      <c r="K239" s="9" t="s">
        <v>391</v>
      </c>
    </row>
    <row r="240" customFormat="false" ht="46.25" hidden="false" customHeight="false" outlineLevel="0" collapsed="false">
      <c r="A240" s="9" t="s">
        <v>16</v>
      </c>
      <c r="B240" s="9" t="s">
        <v>11</v>
      </c>
      <c r="C240" s="9" t="s">
        <v>79</v>
      </c>
      <c r="D240" s="9" t="s">
        <v>80</v>
      </c>
      <c r="E240" s="9" t="s">
        <v>386</v>
      </c>
      <c r="F240" s="11" t="s">
        <v>722</v>
      </c>
      <c r="G240" s="11" t="s">
        <v>1079</v>
      </c>
      <c r="H240" s="11" t="s">
        <v>1080</v>
      </c>
      <c r="I240" s="11"/>
      <c r="J240" s="11" t="s">
        <v>1081</v>
      </c>
      <c r="K240" s="9" t="s">
        <v>391</v>
      </c>
    </row>
    <row r="241" customFormat="false" ht="35.05" hidden="false" customHeight="false" outlineLevel="0" collapsed="false">
      <c r="A241" s="9" t="s">
        <v>16</v>
      </c>
      <c r="B241" s="9" t="s">
        <v>11</v>
      </c>
      <c r="C241" s="9" t="s">
        <v>79</v>
      </c>
      <c r="D241" s="9" t="s">
        <v>80</v>
      </c>
      <c r="E241" s="9" t="s">
        <v>386</v>
      </c>
      <c r="F241" s="11" t="s">
        <v>387</v>
      </c>
      <c r="G241" s="11" t="s">
        <v>1082</v>
      </c>
      <c r="H241" s="11" t="s">
        <v>1083</v>
      </c>
      <c r="I241" s="11"/>
      <c r="J241" s="11" t="s">
        <v>1084</v>
      </c>
      <c r="K241" s="9" t="s">
        <v>391</v>
      </c>
    </row>
    <row r="242" customFormat="false" ht="35.05" hidden="false" customHeight="false" outlineLevel="0" collapsed="false">
      <c r="A242" s="9" t="s">
        <v>16</v>
      </c>
      <c r="B242" s="9" t="s">
        <v>11</v>
      </c>
      <c r="C242" s="9" t="s">
        <v>79</v>
      </c>
      <c r="D242" s="9" t="s">
        <v>80</v>
      </c>
      <c r="E242" s="9" t="s">
        <v>386</v>
      </c>
      <c r="F242" s="11" t="s">
        <v>387</v>
      </c>
      <c r="G242" s="11" t="s">
        <v>1085</v>
      </c>
      <c r="H242" s="11" t="s">
        <v>1086</v>
      </c>
      <c r="I242" s="11"/>
      <c r="J242" s="11" t="s">
        <v>1084</v>
      </c>
      <c r="K242" s="9" t="s">
        <v>391</v>
      </c>
    </row>
    <row r="243" customFormat="false" ht="35.05" hidden="false" customHeight="false" outlineLevel="0" collapsed="false">
      <c r="A243" s="9" t="s">
        <v>16</v>
      </c>
      <c r="B243" s="9" t="s">
        <v>11</v>
      </c>
      <c r="C243" s="9" t="s">
        <v>79</v>
      </c>
      <c r="D243" s="9" t="s">
        <v>80</v>
      </c>
      <c r="E243" s="9" t="s">
        <v>386</v>
      </c>
      <c r="F243" s="11" t="s">
        <v>410</v>
      </c>
      <c r="G243" s="11" t="s">
        <v>1087</v>
      </c>
      <c r="H243" s="11" t="s">
        <v>1088</v>
      </c>
      <c r="I243" s="11"/>
      <c r="J243" s="11" t="s">
        <v>1089</v>
      </c>
      <c r="K243" s="9" t="s">
        <v>391</v>
      </c>
    </row>
    <row r="244" customFormat="false" ht="35.05" hidden="false" customHeight="false" outlineLevel="0" collapsed="false">
      <c r="A244" s="9" t="s">
        <v>16</v>
      </c>
      <c r="B244" s="9" t="s">
        <v>11</v>
      </c>
      <c r="C244" s="9" t="s">
        <v>79</v>
      </c>
      <c r="D244" s="9" t="s">
        <v>80</v>
      </c>
      <c r="E244" s="9" t="s">
        <v>386</v>
      </c>
      <c r="F244" s="11" t="s">
        <v>410</v>
      </c>
      <c r="G244" s="11" t="s">
        <v>1090</v>
      </c>
      <c r="H244" s="11" t="s">
        <v>1091</v>
      </c>
      <c r="I244" s="11"/>
      <c r="J244" s="11" t="s">
        <v>1089</v>
      </c>
      <c r="K244" s="9" t="s">
        <v>391</v>
      </c>
    </row>
    <row r="245" customFormat="false" ht="35.05" hidden="false" customHeight="false" outlineLevel="0" collapsed="false">
      <c r="A245" s="9" t="s">
        <v>16</v>
      </c>
      <c r="B245" s="9" t="s">
        <v>11</v>
      </c>
      <c r="C245" s="9" t="s">
        <v>79</v>
      </c>
      <c r="D245" s="9" t="s">
        <v>80</v>
      </c>
      <c r="E245" s="9" t="s">
        <v>386</v>
      </c>
      <c r="F245" s="11" t="s">
        <v>400</v>
      </c>
      <c r="G245" s="11" t="s">
        <v>1092</v>
      </c>
      <c r="H245" s="11" t="s">
        <v>1093</v>
      </c>
      <c r="I245" s="11"/>
      <c r="J245" s="11" t="s">
        <v>1094</v>
      </c>
      <c r="K245" s="9" t="s">
        <v>391</v>
      </c>
    </row>
    <row r="246" customFormat="false" ht="57.45" hidden="false" customHeight="false" outlineLevel="0" collapsed="false">
      <c r="A246" s="9" t="s">
        <v>16</v>
      </c>
      <c r="B246" s="9" t="s">
        <v>11</v>
      </c>
      <c r="C246" s="9" t="s">
        <v>79</v>
      </c>
      <c r="D246" s="9" t="s">
        <v>80</v>
      </c>
      <c r="E246" s="9" t="s">
        <v>386</v>
      </c>
      <c r="F246" s="11" t="s">
        <v>419</v>
      </c>
      <c r="G246" s="11" t="s">
        <v>1095</v>
      </c>
      <c r="H246" s="11" t="s">
        <v>1096</v>
      </c>
      <c r="I246" s="11"/>
      <c r="J246" s="11" t="s">
        <v>1097</v>
      </c>
      <c r="K246" s="9" t="s">
        <v>391</v>
      </c>
    </row>
    <row r="247" customFormat="false" ht="35.05" hidden="false" customHeight="false" outlineLevel="0" collapsed="false">
      <c r="A247" s="9" t="s">
        <v>16</v>
      </c>
      <c r="B247" s="9" t="s">
        <v>11</v>
      </c>
      <c r="C247" s="9" t="s">
        <v>79</v>
      </c>
      <c r="D247" s="9" t="s">
        <v>80</v>
      </c>
      <c r="E247" s="9" t="s">
        <v>386</v>
      </c>
      <c r="F247" s="11" t="s">
        <v>419</v>
      </c>
      <c r="G247" s="11" t="s">
        <v>1098</v>
      </c>
      <c r="H247" s="11" t="s">
        <v>1099</v>
      </c>
      <c r="I247" s="11"/>
      <c r="J247" s="11" t="s">
        <v>1100</v>
      </c>
      <c r="K247" s="9" t="s">
        <v>391</v>
      </c>
    </row>
    <row r="248" customFormat="false" ht="35.05" hidden="false" customHeight="false" outlineLevel="0" collapsed="false">
      <c r="A248" s="9" t="s">
        <v>16</v>
      </c>
      <c r="B248" s="9" t="s">
        <v>11</v>
      </c>
      <c r="C248" s="9" t="s">
        <v>79</v>
      </c>
      <c r="D248" s="9" t="s">
        <v>80</v>
      </c>
      <c r="E248" s="9" t="s">
        <v>386</v>
      </c>
      <c r="F248" s="11" t="s">
        <v>419</v>
      </c>
      <c r="G248" s="11" t="s">
        <v>1101</v>
      </c>
      <c r="H248" s="11" t="s">
        <v>1102</v>
      </c>
      <c r="I248" s="11"/>
      <c r="J248" s="11" t="s">
        <v>1103</v>
      </c>
      <c r="K248" s="9" t="s">
        <v>391</v>
      </c>
    </row>
    <row r="249" customFormat="false" ht="35.05" hidden="false" customHeight="false" outlineLevel="0" collapsed="false">
      <c r="A249" s="9" t="s">
        <v>16</v>
      </c>
      <c r="B249" s="9" t="s">
        <v>11</v>
      </c>
      <c r="C249" s="9" t="s">
        <v>79</v>
      </c>
      <c r="D249" s="9" t="s">
        <v>80</v>
      </c>
      <c r="E249" s="9" t="s">
        <v>386</v>
      </c>
      <c r="F249" s="11" t="s">
        <v>392</v>
      </c>
      <c r="G249" s="11" t="s">
        <v>1104</v>
      </c>
      <c r="H249" s="11" t="s">
        <v>1105</v>
      </c>
      <c r="I249" s="11"/>
      <c r="J249" s="11" t="s">
        <v>1106</v>
      </c>
      <c r="K249" s="9" t="s">
        <v>391</v>
      </c>
    </row>
    <row r="250" customFormat="false" ht="35.05" hidden="false" customHeight="false" outlineLevel="0" collapsed="false">
      <c r="A250" s="9" t="s">
        <v>16</v>
      </c>
      <c r="B250" s="9" t="s">
        <v>11</v>
      </c>
      <c r="C250" s="9" t="s">
        <v>79</v>
      </c>
      <c r="D250" s="9" t="s">
        <v>80</v>
      </c>
      <c r="E250" s="9" t="s">
        <v>386</v>
      </c>
      <c r="F250" s="11" t="s">
        <v>419</v>
      </c>
      <c r="G250" s="11" t="s">
        <v>1107</v>
      </c>
      <c r="H250" s="11" t="s">
        <v>1108</v>
      </c>
      <c r="I250" s="11"/>
      <c r="J250" s="11" t="s">
        <v>1109</v>
      </c>
      <c r="K250" s="9" t="s">
        <v>391</v>
      </c>
    </row>
    <row r="251" customFormat="false" ht="57.45" hidden="false" customHeight="false" outlineLevel="0" collapsed="false">
      <c r="A251" s="9" t="s">
        <v>16</v>
      </c>
      <c r="B251" s="9" t="s">
        <v>11</v>
      </c>
      <c r="C251" s="9" t="s">
        <v>79</v>
      </c>
      <c r="D251" s="9" t="s">
        <v>80</v>
      </c>
      <c r="E251" s="9" t="s">
        <v>386</v>
      </c>
      <c r="F251" s="11" t="s">
        <v>722</v>
      </c>
      <c r="G251" s="11" t="s">
        <v>1110</v>
      </c>
      <c r="H251" s="11" t="s">
        <v>1111</v>
      </c>
      <c r="I251" s="11"/>
      <c r="J251" s="11" t="s">
        <v>1112</v>
      </c>
      <c r="K251" s="9" t="s">
        <v>391</v>
      </c>
    </row>
    <row r="252" customFormat="false" ht="46.25" hidden="false" customHeight="false" outlineLevel="0" collapsed="false">
      <c r="A252" s="9" t="s">
        <v>16</v>
      </c>
      <c r="B252" s="9" t="s">
        <v>11</v>
      </c>
      <c r="C252" s="9" t="s">
        <v>79</v>
      </c>
      <c r="D252" s="9" t="s">
        <v>80</v>
      </c>
      <c r="E252" s="9" t="s">
        <v>386</v>
      </c>
      <c r="F252" s="11" t="s">
        <v>767</v>
      </c>
      <c r="G252" s="11" t="s">
        <v>1113</v>
      </c>
      <c r="H252" s="11" t="s">
        <v>1114</v>
      </c>
      <c r="I252" s="11"/>
      <c r="J252" s="11" t="s">
        <v>1115</v>
      </c>
      <c r="K252" s="9" t="s">
        <v>391</v>
      </c>
    </row>
    <row r="253" customFormat="false" ht="35.05" hidden="false" customHeight="false" outlineLevel="0" collapsed="false">
      <c r="A253" s="9" t="s">
        <v>16</v>
      </c>
      <c r="B253" s="9" t="s">
        <v>11</v>
      </c>
      <c r="C253" s="9" t="s">
        <v>79</v>
      </c>
      <c r="D253" s="9" t="s">
        <v>80</v>
      </c>
      <c r="E253" s="9" t="s">
        <v>386</v>
      </c>
      <c r="F253" s="11" t="s">
        <v>441</v>
      </c>
      <c r="G253" s="11" t="s">
        <v>1116</v>
      </c>
      <c r="H253" s="11" t="s">
        <v>1117</v>
      </c>
      <c r="I253" s="11"/>
      <c r="J253" s="11" t="s">
        <v>1118</v>
      </c>
      <c r="K253" s="9" t="s">
        <v>391</v>
      </c>
    </row>
    <row r="254" customFormat="false" ht="35.05" hidden="false" customHeight="false" outlineLevel="0" collapsed="false">
      <c r="A254" s="9" t="s">
        <v>16</v>
      </c>
      <c r="B254" s="9" t="s">
        <v>11</v>
      </c>
      <c r="C254" s="9" t="s">
        <v>79</v>
      </c>
      <c r="D254" s="9" t="s">
        <v>80</v>
      </c>
      <c r="E254" s="9" t="s">
        <v>386</v>
      </c>
      <c r="F254" s="11" t="s">
        <v>441</v>
      </c>
      <c r="G254" s="11" t="s">
        <v>1119</v>
      </c>
      <c r="H254" s="11" t="s">
        <v>1120</v>
      </c>
      <c r="I254" s="11"/>
      <c r="J254" s="11" t="s">
        <v>1121</v>
      </c>
      <c r="K254" s="9" t="s">
        <v>391</v>
      </c>
    </row>
    <row r="255" customFormat="false" ht="68.65" hidden="false" customHeight="false" outlineLevel="0" collapsed="false">
      <c r="A255" s="9" t="s">
        <v>16</v>
      </c>
      <c r="B255" s="9" t="s">
        <v>11</v>
      </c>
      <c r="C255" s="9" t="s">
        <v>79</v>
      </c>
      <c r="D255" s="9" t="s">
        <v>80</v>
      </c>
      <c r="E255" s="9" t="s">
        <v>386</v>
      </c>
      <c r="F255" s="11" t="s">
        <v>722</v>
      </c>
      <c r="G255" s="11" t="s">
        <v>1122</v>
      </c>
      <c r="H255" s="11" t="s">
        <v>1123</v>
      </c>
      <c r="I255" s="11"/>
      <c r="J255" s="11" t="s">
        <v>1124</v>
      </c>
      <c r="K255" s="9" t="s">
        <v>391</v>
      </c>
    </row>
    <row r="256" customFormat="false" ht="57.45" hidden="false" customHeight="false" outlineLevel="0" collapsed="false">
      <c r="A256" s="9" t="s">
        <v>16</v>
      </c>
      <c r="B256" s="9" t="s">
        <v>11</v>
      </c>
      <c r="C256" s="9" t="s">
        <v>79</v>
      </c>
      <c r="D256" s="9" t="s">
        <v>80</v>
      </c>
      <c r="E256" s="9" t="s">
        <v>386</v>
      </c>
      <c r="F256" s="11" t="s">
        <v>1125</v>
      </c>
      <c r="G256" s="11" t="s">
        <v>1126</v>
      </c>
      <c r="H256" s="11" t="s">
        <v>1127</v>
      </c>
      <c r="I256" s="11"/>
      <c r="J256" s="11" t="s">
        <v>1128</v>
      </c>
      <c r="K256" s="9" t="s">
        <v>391</v>
      </c>
    </row>
    <row r="257" customFormat="false" ht="57.45" hidden="false" customHeight="false" outlineLevel="0" collapsed="false">
      <c r="A257" s="9" t="s">
        <v>16</v>
      </c>
      <c r="B257" s="9" t="s">
        <v>11</v>
      </c>
      <c r="C257" s="9" t="s">
        <v>79</v>
      </c>
      <c r="D257" s="9" t="s">
        <v>80</v>
      </c>
      <c r="E257" s="9" t="s">
        <v>386</v>
      </c>
      <c r="F257" s="11" t="s">
        <v>722</v>
      </c>
      <c r="G257" s="11" t="s">
        <v>1129</v>
      </c>
      <c r="H257" s="11" t="s">
        <v>1130</v>
      </c>
      <c r="I257" s="11"/>
      <c r="J257" s="11" t="s">
        <v>1131</v>
      </c>
      <c r="K257" s="9" t="s">
        <v>391</v>
      </c>
    </row>
    <row r="258" customFormat="false" ht="57.45" hidden="false" customHeight="false" outlineLevel="0" collapsed="false">
      <c r="A258" s="9" t="s">
        <v>16</v>
      </c>
      <c r="B258" s="9" t="s">
        <v>11</v>
      </c>
      <c r="C258" s="9" t="s">
        <v>79</v>
      </c>
      <c r="D258" s="9" t="s">
        <v>80</v>
      </c>
      <c r="E258" s="9" t="s">
        <v>386</v>
      </c>
      <c r="F258" s="11" t="s">
        <v>1125</v>
      </c>
      <c r="G258" s="11" t="s">
        <v>1132</v>
      </c>
      <c r="H258" s="11" t="s">
        <v>1133</v>
      </c>
      <c r="I258" s="11"/>
      <c r="J258" s="11" t="s">
        <v>1134</v>
      </c>
      <c r="K258" s="9" t="s">
        <v>391</v>
      </c>
    </row>
    <row r="259" customFormat="false" ht="46.25" hidden="false" customHeight="false" outlineLevel="0" collapsed="false">
      <c r="A259" s="9" t="s">
        <v>16</v>
      </c>
      <c r="B259" s="9" t="s">
        <v>11</v>
      </c>
      <c r="C259" s="9" t="s">
        <v>79</v>
      </c>
      <c r="D259" s="9" t="s">
        <v>80</v>
      </c>
      <c r="E259" s="9" t="s">
        <v>386</v>
      </c>
      <c r="F259" s="11" t="s">
        <v>1135</v>
      </c>
      <c r="G259" s="11" t="s">
        <v>1136</v>
      </c>
      <c r="H259" s="11" t="s">
        <v>1137</v>
      </c>
      <c r="I259" s="11"/>
      <c r="J259" s="11" t="s">
        <v>1138</v>
      </c>
      <c r="K259" s="9" t="s">
        <v>391</v>
      </c>
    </row>
    <row r="260" customFormat="false" ht="35.05" hidden="false" customHeight="false" outlineLevel="0" collapsed="false">
      <c r="A260" s="9" t="s">
        <v>16</v>
      </c>
      <c r="B260" s="9" t="s">
        <v>11</v>
      </c>
      <c r="C260" s="9" t="s">
        <v>79</v>
      </c>
      <c r="D260" s="9" t="s">
        <v>80</v>
      </c>
      <c r="E260" s="9" t="s">
        <v>386</v>
      </c>
      <c r="F260" s="11" t="s">
        <v>410</v>
      </c>
      <c r="G260" s="11" t="s">
        <v>1139</v>
      </c>
      <c r="H260" s="11" t="s">
        <v>1140</v>
      </c>
      <c r="I260" s="11"/>
      <c r="J260" s="11" t="s">
        <v>1141</v>
      </c>
      <c r="K260" s="9" t="s">
        <v>391</v>
      </c>
    </row>
    <row r="261" customFormat="false" ht="46.25" hidden="false" customHeight="false" outlineLevel="0" collapsed="false">
      <c r="A261" s="9" t="s">
        <v>16</v>
      </c>
      <c r="B261" s="9" t="s">
        <v>11</v>
      </c>
      <c r="C261" s="9" t="s">
        <v>79</v>
      </c>
      <c r="D261" s="9" t="s">
        <v>80</v>
      </c>
      <c r="E261" s="9" t="s">
        <v>386</v>
      </c>
      <c r="F261" s="11" t="s">
        <v>387</v>
      </c>
      <c r="G261" s="11" t="s">
        <v>1142</v>
      </c>
      <c r="H261" s="11" t="s">
        <v>1143</v>
      </c>
      <c r="I261" s="11"/>
      <c r="J261" s="11" t="s">
        <v>1144</v>
      </c>
      <c r="K261" s="9" t="s">
        <v>391</v>
      </c>
    </row>
    <row r="262" customFormat="false" ht="57.45" hidden="false" customHeight="false" outlineLevel="0" collapsed="false">
      <c r="A262" s="9" t="s">
        <v>16</v>
      </c>
      <c r="B262" s="9" t="s">
        <v>11</v>
      </c>
      <c r="C262" s="9" t="s">
        <v>82</v>
      </c>
      <c r="D262" s="9" t="s">
        <v>83</v>
      </c>
      <c r="E262" s="9" t="s">
        <v>386</v>
      </c>
      <c r="F262" s="11" t="s">
        <v>722</v>
      </c>
      <c r="G262" s="11" t="s">
        <v>1145</v>
      </c>
      <c r="H262" s="11" t="s">
        <v>1146</v>
      </c>
      <c r="I262" s="11"/>
      <c r="J262" s="11" t="s">
        <v>1147</v>
      </c>
      <c r="K262" s="9" t="s">
        <v>391</v>
      </c>
    </row>
    <row r="263" customFormat="false" ht="46.25" hidden="false" customHeight="false" outlineLevel="0" collapsed="false">
      <c r="A263" s="9" t="s">
        <v>16</v>
      </c>
      <c r="B263" s="9" t="s">
        <v>11</v>
      </c>
      <c r="C263" s="9" t="s">
        <v>82</v>
      </c>
      <c r="D263" s="9" t="s">
        <v>83</v>
      </c>
      <c r="E263" s="9" t="s">
        <v>386</v>
      </c>
      <c r="F263" s="11" t="s">
        <v>387</v>
      </c>
      <c r="G263" s="11" t="s">
        <v>1148</v>
      </c>
      <c r="H263" s="11" t="s">
        <v>1149</v>
      </c>
      <c r="I263" s="11"/>
      <c r="J263" s="11" t="s">
        <v>1150</v>
      </c>
      <c r="K263" s="9" t="s">
        <v>391</v>
      </c>
    </row>
    <row r="264" customFormat="false" ht="46.25" hidden="false" customHeight="false" outlineLevel="0" collapsed="false">
      <c r="A264" s="9" t="s">
        <v>16</v>
      </c>
      <c r="B264" s="9" t="s">
        <v>11</v>
      </c>
      <c r="C264" s="9" t="s">
        <v>82</v>
      </c>
      <c r="D264" s="9" t="s">
        <v>83</v>
      </c>
      <c r="E264" s="9" t="s">
        <v>386</v>
      </c>
      <c r="F264" s="11" t="s">
        <v>410</v>
      </c>
      <c r="G264" s="11" t="s">
        <v>1151</v>
      </c>
      <c r="H264" s="11" t="s">
        <v>1152</v>
      </c>
      <c r="I264" s="11"/>
      <c r="J264" s="11" t="s">
        <v>1153</v>
      </c>
      <c r="K264" s="9" t="s">
        <v>391</v>
      </c>
    </row>
    <row r="265" customFormat="false" ht="46.25" hidden="false" customHeight="false" outlineLevel="0" collapsed="false">
      <c r="A265" s="9" t="s">
        <v>16</v>
      </c>
      <c r="B265" s="9" t="s">
        <v>11</v>
      </c>
      <c r="C265" s="9" t="s">
        <v>82</v>
      </c>
      <c r="D265" s="9" t="s">
        <v>83</v>
      </c>
      <c r="E265" s="9" t="s">
        <v>386</v>
      </c>
      <c r="F265" s="11" t="s">
        <v>1154</v>
      </c>
      <c r="G265" s="11" t="s">
        <v>1155</v>
      </c>
      <c r="H265" s="11" t="s">
        <v>1156</v>
      </c>
      <c r="I265" s="11"/>
      <c r="J265" s="11" t="s">
        <v>1153</v>
      </c>
      <c r="K265" s="9" t="s">
        <v>391</v>
      </c>
    </row>
    <row r="266" customFormat="false" ht="79.85" hidden="false" customHeight="false" outlineLevel="0" collapsed="false">
      <c r="A266" s="9" t="s">
        <v>16</v>
      </c>
      <c r="B266" s="9" t="s">
        <v>11</v>
      </c>
      <c r="C266" s="9" t="s">
        <v>82</v>
      </c>
      <c r="D266" s="9" t="s">
        <v>83</v>
      </c>
      <c r="E266" s="9" t="s">
        <v>386</v>
      </c>
      <c r="F266" s="11" t="s">
        <v>410</v>
      </c>
      <c r="G266" s="11" t="s">
        <v>1157</v>
      </c>
      <c r="H266" s="11" t="s">
        <v>1158</v>
      </c>
      <c r="I266" s="11"/>
      <c r="J266" s="11" t="s">
        <v>1159</v>
      </c>
      <c r="K266" s="9" t="s">
        <v>391</v>
      </c>
    </row>
    <row r="267" customFormat="false" ht="46.25" hidden="false" customHeight="false" outlineLevel="0" collapsed="false">
      <c r="A267" s="9" t="s">
        <v>16</v>
      </c>
      <c r="B267" s="9" t="s">
        <v>11</v>
      </c>
      <c r="C267" s="9" t="s">
        <v>82</v>
      </c>
      <c r="D267" s="9" t="s">
        <v>83</v>
      </c>
      <c r="E267" s="9" t="s">
        <v>386</v>
      </c>
      <c r="F267" s="11" t="s">
        <v>400</v>
      </c>
      <c r="G267" s="11" t="s">
        <v>1160</v>
      </c>
      <c r="H267" s="11" t="s">
        <v>1161</v>
      </c>
      <c r="I267" s="11"/>
      <c r="J267" s="11" t="s">
        <v>1162</v>
      </c>
      <c r="K267" s="9" t="s">
        <v>391</v>
      </c>
    </row>
    <row r="268" customFormat="false" ht="35.05" hidden="false" customHeight="false" outlineLevel="0" collapsed="false">
      <c r="A268" s="9" t="s">
        <v>16</v>
      </c>
      <c r="B268" s="9" t="s">
        <v>11</v>
      </c>
      <c r="C268" s="9" t="s">
        <v>82</v>
      </c>
      <c r="D268" s="9" t="s">
        <v>83</v>
      </c>
      <c r="E268" s="9" t="s">
        <v>386</v>
      </c>
      <c r="F268" s="11" t="s">
        <v>419</v>
      </c>
      <c r="G268" s="11" t="s">
        <v>1163</v>
      </c>
      <c r="H268" s="11" t="s">
        <v>1164</v>
      </c>
      <c r="I268" s="11"/>
      <c r="J268" s="11" t="s">
        <v>1165</v>
      </c>
      <c r="K268" s="9" t="s">
        <v>391</v>
      </c>
    </row>
    <row r="269" customFormat="false" ht="35.05" hidden="false" customHeight="false" outlineLevel="0" collapsed="false">
      <c r="A269" s="9" t="s">
        <v>16</v>
      </c>
      <c r="B269" s="9" t="s">
        <v>11</v>
      </c>
      <c r="C269" s="9" t="s">
        <v>82</v>
      </c>
      <c r="D269" s="9" t="s">
        <v>83</v>
      </c>
      <c r="E269" s="9" t="s">
        <v>386</v>
      </c>
      <c r="F269" s="11" t="s">
        <v>419</v>
      </c>
      <c r="G269" s="11" t="s">
        <v>1166</v>
      </c>
      <c r="H269" s="11" t="s">
        <v>1167</v>
      </c>
      <c r="I269" s="11"/>
      <c r="J269" s="11" t="s">
        <v>1165</v>
      </c>
      <c r="K269" s="9" t="s">
        <v>391</v>
      </c>
    </row>
    <row r="270" customFormat="false" ht="68.65" hidden="false" customHeight="false" outlineLevel="0" collapsed="false">
      <c r="A270" s="9" t="s">
        <v>16</v>
      </c>
      <c r="B270" s="9" t="s">
        <v>11</v>
      </c>
      <c r="C270" s="9" t="s">
        <v>82</v>
      </c>
      <c r="D270" s="9" t="s">
        <v>83</v>
      </c>
      <c r="E270" s="9" t="s">
        <v>386</v>
      </c>
      <c r="F270" s="11" t="s">
        <v>396</v>
      </c>
      <c r="G270" s="11" t="s">
        <v>1168</v>
      </c>
      <c r="H270" s="11" t="s">
        <v>1169</v>
      </c>
      <c r="I270" s="11"/>
      <c r="J270" s="11" t="s">
        <v>1170</v>
      </c>
      <c r="K270" s="9" t="s">
        <v>391</v>
      </c>
    </row>
    <row r="271" customFormat="false" ht="57.45" hidden="false" customHeight="false" outlineLevel="0" collapsed="false">
      <c r="A271" s="9" t="s">
        <v>16</v>
      </c>
      <c r="B271" s="9" t="s">
        <v>11</v>
      </c>
      <c r="C271" s="9" t="s">
        <v>76</v>
      </c>
      <c r="D271" s="9" t="s">
        <v>77</v>
      </c>
      <c r="E271" s="9" t="s">
        <v>386</v>
      </c>
      <c r="F271" s="11" t="s">
        <v>1171</v>
      </c>
      <c r="G271" s="11" t="s">
        <v>1172</v>
      </c>
      <c r="H271" s="11" t="s">
        <v>1173</v>
      </c>
      <c r="I271" s="11"/>
      <c r="J271" s="11" t="s">
        <v>1174</v>
      </c>
      <c r="K271" s="9" t="s">
        <v>391</v>
      </c>
    </row>
    <row r="272" customFormat="false" ht="46.25" hidden="false" customHeight="false" outlineLevel="0" collapsed="false">
      <c r="A272" s="9" t="s">
        <v>16</v>
      </c>
      <c r="B272" s="9" t="s">
        <v>11</v>
      </c>
      <c r="C272" s="9" t="s">
        <v>76</v>
      </c>
      <c r="D272" s="9" t="s">
        <v>77</v>
      </c>
      <c r="E272" s="9" t="s">
        <v>386</v>
      </c>
      <c r="F272" s="11" t="s">
        <v>410</v>
      </c>
      <c r="G272" s="11" t="s">
        <v>1175</v>
      </c>
      <c r="H272" s="11" t="s">
        <v>1176</v>
      </c>
      <c r="I272" s="11"/>
      <c r="J272" s="11" t="s">
        <v>1177</v>
      </c>
      <c r="K272" s="9" t="s">
        <v>391</v>
      </c>
    </row>
    <row r="273" customFormat="false" ht="46.25" hidden="false" customHeight="false" outlineLevel="0" collapsed="false">
      <c r="A273" s="9" t="s">
        <v>16</v>
      </c>
      <c r="B273" s="9" t="s">
        <v>11</v>
      </c>
      <c r="C273" s="9" t="s">
        <v>76</v>
      </c>
      <c r="D273" s="9" t="s">
        <v>77</v>
      </c>
      <c r="E273" s="9" t="s">
        <v>386</v>
      </c>
      <c r="F273" s="11" t="s">
        <v>410</v>
      </c>
      <c r="G273" s="11" t="s">
        <v>1178</v>
      </c>
      <c r="H273" s="11" t="s">
        <v>1179</v>
      </c>
      <c r="I273" s="11"/>
      <c r="J273" s="11" t="s">
        <v>1180</v>
      </c>
      <c r="K273" s="9" t="s">
        <v>391</v>
      </c>
    </row>
    <row r="274" customFormat="false" ht="46.25" hidden="false" customHeight="false" outlineLevel="0" collapsed="false">
      <c r="A274" s="9" t="s">
        <v>16</v>
      </c>
      <c r="B274" s="9" t="s">
        <v>11</v>
      </c>
      <c r="C274" s="9" t="s">
        <v>76</v>
      </c>
      <c r="D274" s="9" t="s">
        <v>77</v>
      </c>
      <c r="E274" s="9" t="s">
        <v>386</v>
      </c>
      <c r="F274" s="11" t="s">
        <v>387</v>
      </c>
      <c r="G274" s="11" t="s">
        <v>1181</v>
      </c>
      <c r="H274" s="11" t="s">
        <v>1182</v>
      </c>
      <c r="I274" s="11"/>
      <c r="J274" s="11" t="s">
        <v>1183</v>
      </c>
      <c r="K274" s="9" t="s">
        <v>391</v>
      </c>
    </row>
    <row r="275" customFormat="false" ht="57.45" hidden="false" customHeight="false" outlineLevel="0" collapsed="false">
      <c r="A275" s="9" t="s">
        <v>16</v>
      </c>
      <c r="B275" s="9" t="s">
        <v>11</v>
      </c>
      <c r="C275" s="9" t="s">
        <v>76</v>
      </c>
      <c r="D275" s="9" t="s">
        <v>77</v>
      </c>
      <c r="E275" s="9" t="s">
        <v>386</v>
      </c>
      <c r="F275" s="11" t="s">
        <v>400</v>
      </c>
      <c r="G275" s="11" t="s">
        <v>1184</v>
      </c>
      <c r="H275" s="11" t="s">
        <v>1185</v>
      </c>
      <c r="I275" s="11"/>
      <c r="J275" s="11" t="s">
        <v>1186</v>
      </c>
      <c r="K275" s="9" t="s">
        <v>391</v>
      </c>
    </row>
    <row r="276" customFormat="false" ht="46.25" hidden="false" customHeight="false" outlineLevel="0" collapsed="false">
      <c r="A276" s="9" t="s">
        <v>16</v>
      </c>
      <c r="B276" s="9" t="s">
        <v>11</v>
      </c>
      <c r="C276" s="9" t="s">
        <v>76</v>
      </c>
      <c r="D276" s="9" t="s">
        <v>77</v>
      </c>
      <c r="E276" s="9" t="s">
        <v>386</v>
      </c>
      <c r="F276" s="11" t="s">
        <v>419</v>
      </c>
      <c r="G276" s="11" t="s">
        <v>1187</v>
      </c>
      <c r="H276" s="11" t="s">
        <v>1188</v>
      </c>
      <c r="I276" s="11"/>
      <c r="J276" s="11" t="s">
        <v>1189</v>
      </c>
      <c r="K276" s="9" t="s">
        <v>391</v>
      </c>
    </row>
    <row r="277" customFormat="false" ht="35.05" hidden="false" customHeight="false" outlineLevel="0" collapsed="false">
      <c r="A277" s="9" t="s">
        <v>16</v>
      </c>
      <c r="B277" s="9" t="s">
        <v>11</v>
      </c>
      <c r="C277" s="9" t="s">
        <v>76</v>
      </c>
      <c r="D277" s="9" t="s">
        <v>77</v>
      </c>
      <c r="E277" s="9" t="s">
        <v>386</v>
      </c>
      <c r="F277" s="11" t="s">
        <v>666</v>
      </c>
      <c r="G277" s="11" t="s">
        <v>1190</v>
      </c>
      <c r="H277" s="11" t="s">
        <v>1191</v>
      </c>
      <c r="I277" s="11"/>
      <c r="J277" s="11" t="s">
        <v>1192</v>
      </c>
      <c r="K277" s="9" t="s">
        <v>391</v>
      </c>
    </row>
    <row r="278" customFormat="false" ht="46.25" hidden="false" customHeight="false" outlineLevel="0" collapsed="false">
      <c r="A278" s="9" t="s">
        <v>16</v>
      </c>
      <c r="B278" s="9" t="s">
        <v>11</v>
      </c>
      <c r="C278" s="9" t="s">
        <v>76</v>
      </c>
      <c r="D278" s="9" t="s">
        <v>77</v>
      </c>
      <c r="E278" s="9" t="s">
        <v>386</v>
      </c>
      <c r="F278" s="11" t="s">
        <v>767</v>
      </c>
      <c r="G278" s="11" t="s">
        <v>1193</v>
      </c>
      <c r="H278" s="11" t="s">
        <v>1194</v>
      </c>
      <c r="I278" s="11"/>
      <c r="J278" s="11" t="s">
        <v>1195</v>
      </c>
      <c r="K278" s="9" t="s">
        <v>391</v>
      </c>
    </row>
    <row r="279" customFormat="false" ht="46.25" hidden="false" customHeight="false" outlineLevel="0" collapsed="false">
      <c r="A279" s="9" t="s">
        <v>16</v>
      </c>
      <c r="B279" s="9" t="s">
        <v>11</v>
      </c>
      <c r="C279" s="9" t="s">
        <v>76</v>
      </c>
      <c r="D279" s="9" t="s">
        <v>77</v>
      </c>
      <c r="E279" s="9" t="s">
        <v>386</v>
      </c>
      <c r="F279" s="11" t="s">
        <v>441</v>
      </c>
      <c r="G279" s="11" t="s">
        <v>1196</v>
      </c>
      <c r="H279" s="11" t="s">
        <v>1197</v>
      </c>
      <c r="I279" s="11"/>
      <c r="J279" s="11" t="s">
        <v>1198</v>
      </c>
      <c r="K279" s="9" t="s">
        <v>391</v>
      </c>
    </row>
    <row r="280" customFormat="false" ht="46.25" hidden="false" customHeight="false" outlineLevel="0" collapsed="false">
      <c r="A280" s="9" t="s">
        <v>16</v>
      </c>
      <c r="B280" s="9" t="s">
        <v>11</v>
      </c>
      <c r="C280" s="9" t="s">
        <v>76</v>
      </c>
      <c r="D280" s="9" t="s">
        <v>77</v>
      </c>
      <c r="E280" s="9" t="s">
        <v>386</v>
      </c>
      <c r="F280" s="11" t="s">
        <v>722</v>
      </c>
      <c r="G280" s="11" t="s">
        <v>1199</v>
      </c>
      <c r="H280" s="11" t="s">
        <v>1200</v>
      </c>
      <c r="I280" s="11"/>
      <c r="J280" s="11" t="s">
        <v>1201</v>
      </c>
      <c r="K280" s="9" t="s">
        <v>391</v>
      </c>
    </row>
    <row r="281" customFormat="false" ht="57.45" hidden="false" customHeight="false" outlineLevel="0" collapsed="false">
      <c r="A281" s="9" t="s">
        <v>16</v>
      </c>
      <c r="B281" s="9" t="s">
        <v>11</v>
      </c>
      <c r="C281" s="9" t="s">
        <v>76</v>
      </c>
      <c r="D281" s="9" t="s">
        <v>77</v>
      </c>
      <c r="E281" s="9" t="s">
        <v>386</v>
      </c>
      <c r="F281" s="11" t="s">
        <v>938</v>
      </c>
      <c r="G281" s="11" t="s">
        <v>1202</v>
      </c>
      <c r="H281" s="11" t="s">
        <v>1203</v>
      </c>
      <c r="I281" s="11"/>
      <c r="J281" s="11" t="s">
        <v>1204</v>
      </c>
      <c r="K281" s="9" t="s">
        <v>391</v>
      </c>
    </row>
    <row r="282" customFormat="false" ht="57.45" hidden="false" customHeight="false" outlineLevel="0" collapsed="false">
      <c r="A282" s="9" t="s">
        <v>16</v>
      </c>
      <c r="B282" s="9" t="s">
        <v>11</v>
      </c>
      <c r="C282" s="9" t="s">
        <v>76</v>
      </c>
      <c r="D282" s="9" t="s">
        <v>77</v>
      </c>
      <c r="E282" s="9" t="s">
        <v>386</v>
      </c>
      <c r="F282" s="11" t="s">
        <v>722</v>
      </c>
      <c r="G282" s="11" t="s">
        <v>1205</v>
      </c>
      <c r="H282" s="11" t="s">
        <v>1206</v>
      </c>
      <c r="I282" s="11"/>
      <c r="J282" s="11" t="s">
        <v>1204</v>
      </c>
      <c r="K282" s="9" t="s">
        <v>391</v>
      </c>
    </row>
    <row r="283" customFormat="false" ht="57.45" hidden="false" customHeight="false" outlineLevel="0" collapsed="false">
      <c r="A283" s="9" t="s">
        <v>16</v>
      </c>
      <c r="B283" s="9" t="s">
        <v>11</v>
      </c>
      <c r="C283" s="9" t="s">
        <v>76</v>
      </c>
      <c r="D283" s="9" t="s">
        <v>77</v>
      </c>
      <c r="E283" s="9" t="s">
        <v>386</v>
      </c>
      <c r="F283" s="11" t="s">
        <v>1171</v>
      </c>
      <c r="G283" s="11" t="s">
        <v>1207</v>
      </c>
      <c r="H283" s="11" t="s">
        <v>1208</v>
      </c>
      <c r="I283" s="11"/>
      <c r="J283" s="11" t="s">
        <v>1209</v>
      </c>
      <c r="K283" s="9" t="s">
        <v>391</v>
      </c>
    </row>
    <row r="284" customFormat="false" ht="57.45" hidden="false" customHeight="false" outlineLevel="0" collapsed="false">
      <c r="A284" s="9" t="s">
        <v>16</v>
      </c>
      <c r="B284" s="9" t="s">
        <v>11</v>
      </c>
      <c r="C284" s="9" t="s">
        <v>76</v>
      </c>
      <c r="D284" s="9" t="s">
        <v>77</v>
      </c>
      <c r="E284" s="9" t="s">
        <v>386</v>
      </c>
      <c r="F284" s="11" t="s">
        <v>387</v>
      </c>
      <c r="G284" s="11" t="s">
        <v>1210</v>
      </c>
      <c r="H284" s="11" t="s">
        <v>1211</v>
      </c>
      <c r="I284" s="11"/>
      <c r="J284" s="11" t="s">
        <v>1174</v>
      </c>
      <c r="K284" s="9" t="s">
        <v>391</v>
      </c>
    </row>
    <row r="285" customFormat="false" ht="46.25" hidden="false" customHeight="false" outlineLevel="0" collapsed="false">
      <c r="A285" s="9" t="s">
        <v>16</v>
      </c>
      <c r="B285" s="9" t="s">
        <v>11</v>
      </c>
      <c r="C285" s="9" t="s">
        <v>76</v>
      </c>
      <c r="D285" s="9" t="s">
        <v>77</v>
      </c>
      <c r="E285" s="9" t="s">
        <v>386</v>
      </c>
      <c r="F285" s="11" t="s">
        <v>410</v>
      </c>
      <c r="G285" s="11" t="s">
        <v>1212</v>
      </c>
      <c r="H285" s="11" t="s">
        <v>1213</v>
      </c>
      <c r="I285" s="11"/>
      <c r="J285" s="11" t="s">
        <v>1180</v>
      </c>
      <c r="K285" s="9" t="s">
        <v>391</v>
      </c>
    </row>
    <row r="286" customFormat="false" ht="57.45" hidden="false" customHeight="false" outlineLevel="0" collapsed="false">
      <c r="A286" s="9" t="s">
        <v>16</v>
      </c>
      <c r="B286" s="9" t="s">
        <v>11</v>
      </c>
      <c r="C286" s="9" t="s">
        <v>76</v>
      </c>
      <c r="D286" s="9" t="s">
        <v>77</v>
      </c>
      <c r="E286" s="9" t="s">
        <v>386</v>
      </c>
      <c r="F286" s="11" t="s">
        <v>387</v>
      </c>
      <c r="G286" s="11" t="s">
        <v>1214</v>
      </c>
      <c r="H286" s="11" t="s">
        <v>1215</v>
      </c>
      <c r="I286" s="11"/>
      <c r="J286" s="11" t="s">
        <v>1216</v>
      </c>
      <c r="K286" s="9" t="s">
        <v>391</v>
      </c>
    </row>
    <row r="287" customFormat="false" ht="46.25" hidden="false" customHeight="false" outlineLevel="0" collapsed="false">
      <c r="A287" s="9" t="s">
        <v>16</v>
      </c>
      <c r="B287" s="9" t="s">
        <v>11</v>
      </c>
      <c r="C287" s="9" t="s">
        <v>76</v>
      </c>
      <c r="D287" s="9" t="s">
        <v>77</v>
      </c>
      <c r="E287" s="9" t="s">
        <v>386</v>
      </c>
      <c r="F287" s="11" t="s">
        <v>410</v>
      </c>
      <c r="G287" s="11" t="s">
        <v>1217</v>
      </c>
      <c r="H287" s="11" t="s">
        <v>1218</v>
      </c>
      <c r="I287" s="11"/>
      <c r="J287" s="11" t="s">
        <v>1219</v>
      </c>
      <c r="K287" s="9" t="s">
        <v>391</v>
      </c>
    </row>
    <row r="288" customFormat="false" ht="46.25" hidden="false" customHeight="false" outlineLevel="0" collapsed="false">
      <c r="A288" s="9" t="s">
        <v>16</v>
      </c>
      <c r="B288" s="9" t="s">
        <v>11</v>
      </c>
      <c r="C288" s="9" t="s">
        <v>263</v>
      </c>
      <c r="D288" s="9" t="s">
        <v>264</v>
      </c>
      <c r="E288" s="9" t="s">
        <v>386</v>
      </c>
      <c r="F288" s="11" t="s">
        <v>974</v>
      </c>
      <c r="G288" s="11" t="s">
        <v>1220</v>
      </c>
      <c r="H288" s="11" t="s">
        <v>1221</v>
      </c>
      <c r="I288" s="11"/>
      <c r="J288" s="11" t="s">
        <v>1222</v>
      </c>
      <c r="K288" s="9" t="s">
        <v>391</v>
      </c>
    </row>
    <row r="289" customFormat="false" ht="46.25" hidden="false" customHeight="false" outlineLevel="0" collapsed="false">
      <c r="A289" s="9" t="s">
        <v>16</v>
      </c>
      <c r="B289" s="9" t="s">
        <v>11</v>
      </c>
      <c r="C289" s="9" t="s">
        <v>263</v>
      </c>
      <c r="D289" s="9" t="s">
        <v>264</v>
      </c>
      <c r="E289" s="9" t="s">
        <v>386</v>
      </c>
      <c r="F289" s="11" t="s">
        <v>387</v>
      </c>
      <c r="G289" s="11" t="s">
        <v>1223</v>
      </c>
      <c r="H289" s="11" t="s">
        <v>1224</v>
      </c>
      <c r="I289" s="11"/>
      <c r="J289" s="11" t="s">
        <v>1225</v>
      </c>
      <c r="K289" s="9" t="s">
        <v>391</v>
      </c>
    </row>
    <row r="290" customFormat="false" ht="46.25" hidden="false" customHeight="false" outlineLevel="0" collapsed="false">
      <c r="A290" s="9" t="s">
        <v>16</v>
      </c>
      <c r="B290" s="9" t="s">
        <v>11</v>
      </c>
      <c r="C290" s="9" t="s">
        <v>263</v>
      </c>
      <c r="D290" s="9" t="s">
        <v>264</v>
      </c>
      <c r="E290" s="9" t="s">
        <v>386</v>
      </c>
      <c r="F290" s="11" t="s">
        <v>387</v>
      </c>
      <c r="G290" s="11" t="s">
        <v>1226</v>
      </c>
      <c r="H290" s="11" t="s">
        <v>1227</v>
      </c>
      <c r="I290" s="11"/>
      <c r="J290" s="11" t="s">
        <v>1228</v>
      </c>
      <c r="K290" s="9" t="s">
        <v>391</v>
      </c>
    </row>
    <row r="291" customFormat="false" ht="35.05" hidden="false" customHeight="false" outlineLevel="0" collapsed="false">
      <c r="A291" s="9" t="s">
        <v>16</v>
      </c>
      <c r="B291" s="9" t="s">
        <v>11</v>
      </c>
      <c r="C291" s="9" t="s">
        <v>263</v>
      </c>
      <c r="D291" s="9" t="s">
        <v>264</v>
      </c>
      <c r="E291" s="9" t="s">
        <v>386</v>
      </c>
      <c r="F291" s="11" t="s">
        <v>387</v>
      </c>
      <c r="G291" s="11" t="s">
        <v>1229</v>
      </c>
      <c r="H291" s="11" t="s">
        <v>1230</v>
      </c>
      <c r="I291" s="11"/>
      <c r="J291" s="11" t="s">
        <v>1231</v>
      </c>
      <c r="K291" s="9" t="s">
        <v>391</v>
      </c>
    </row>
    <row r="292" customFormat="false" ht="35.05" hidden="false" customHeight="false" outlineLevel="0" collapsed="false">
      <c r="A292" s="9" t="s">
        <v>16</v>
      </c>
      <c r="B292" s="9" t="s">
        <v>11</v>
      </c>
      <c r="C292" s="9" t="s">
        <v>263</v>
      </c>
      <c r="D292" s="9" t="s">
        <v>264</v>
      </c>
      <c r="E292" s="9" t="s">
        <v>386</v>
      </c>
      <c r="F292" s="11" t="s">
        <v>410</v>
      </c>
      <c r="G292" s="11" t="s">
        <v>1232</v>
      </c>
      <c r="H292" s="11" t="s">
        <v>1233</v>
      </c>
      <c r="I292" s="11"/>
      <c r="J292" s="11" t="s">
        <v>1231</v>
      </c>
      <c r="K292" s="9" t="s">
        <v>391</v>
      </c>
    </row>
    <row r="293" customFormat="false" ht="35.05" hidden="false" customHeight="false" outlineLevel="0" collapsed="false">
      <c r="A293" s="9" t="s">
        <v>16</v>
      </c>
      <c r="B293" s="9" t="s">
        <v>11</v>
      </c>
      <c r="C293" s="9" t="s">
        <v>263</v>
      </c>
      <c r="D293" s="9" t="s">
        <v>264</v>
      </c>
      <c r="E293" s="9" t="s">
        <v>386</v>
      </c>
      <c r="F293" s="11" t="s">
        <v>410</v>
      </c>
      <c r="G293" s="11" t="s">
        <v>1234</v>
      </c>
      <c r="H293" s="11" t="s">
        <v>1235</v>
      </c>
      <c r="I293" s="11"/>
      <c r="J293" s="11" t="s">
        <v>1231</v>
      </c>
      <c r="K293" s="9" t="s">
        <v>391</v>
      </c>
    </row>
    <row r="294" customFormat="false" ht="35.05" hidden="false" customHeight="false" outlineLevel="0" collapsed="false">
      <c r="A294" s="9" t="s">
        <v>16</v>
      </c>
      <c r="B294" s="9" t="s">
        <v>11</v>
      </c>
      <c r="C294" s="9" t="s">
        <v>263</v>
      </c>
      <c r="D294" s="9" t="s">
        <v>264</v>
      </c>
      <c r="E294" s="9" t="s">
        <v>386</v>
      </c>
      <c r="F294" s="11" t="s">
        <v>767</v>
      </c>
      <c r="G294" s="11" t="s">
        <v>1236</v>
      </c>
      <c r="H294" s="11" t="s">
        <v>1237</v>
      </c>
      <c r="I294" s="11"/>
      <c r="J294" s="11" t="s">
        <v>1238</v>
      </c>
      <c r="K294" s="9" t="s">
        <v>391</v>
      </c>
    </row>
    <row r="295" customFormat="false" ht="57.45" hidden="false" customHeight="false" outlineLevel="0" collapsed="false">
      <c r="A295" s="9" t="s">
        <v>16</v>
      </c>
      <c r="B295" s="9" t="s">
        <v>11</v>
      </c>
      <c r="C295" s="9" t="s">
        <v>263</v>
      </c>
      <c r="D295" s="9" t="s">
        <v>264</v>
      </c>
      <c r="E295" s="9" t="s">
        <v>386</v>
      </c>
      <c r="F295" s="11" t="s">
        <v>419</v>
      </c>
      <c r="G295" s="11" t="s">
        <v>1239</v>
      </c>
      <c r="H295" s="11" t="s">
        <v>1240</v>
      </c>
      <c r="I295" s="11"/>
      <c r="J295" s="11" t="s">
        <v>1241</v>
      </c>
      <c r="K295" s="9" t="s">
        <v>391</v>
      </c>
    </row>
    <row r="296" customFormat="false" ht="46.25" hidden="false" customHeight="false" outlineLevel="0" collapsed="false">
      <c r="A296" s="9" t="s">
        <v>16</v>
      </c>
      <c r="B296" s="9" t="s">
        <v>11</v>
      </c>
      <c r="C296" s="9" t="s">
        <v>263</v>
      </c>
      <c r="D296" s="9" t="s">
        <v>264</v>
      </c>
      <c r="E296" s="9" t="s">
        <v>386</v>
      </c>
      <c r="F296" s="11" t="s">
        <v>419</v>
      </c>
      <c r="G296" s="11" t="s">
        <v>1242</v>
      </c>
      <c r="H296" s="11" t="s">
        <v>1243</v>
      </c>
      <c r="I296" s="11"/>
      <c r="J296" s="11" t="s">
        <v>1244</v>
      </c>
      <c r="K296" s="9" t="s">
        <v>391</v>
      </c>
    </row>
    <row r="297" customFormat="false" ht="46.25" hidden="false" customHeight="false" outlineLevel="0" collapsed="false">
      <c r="A297" s="9" t="s">
        <v>16</v>
      </c>
      <c r="B297" s="9" t="s">
        <v>11</v>
      </c>
      <c r="C297" s="9" t="s">
        <v>263</v>
      </c>
      <c r="D297" s="9" t="s">
        <v>264</v>
      </c>
      <c r="E297" s="9" t="s">
        <v>386</v>
      </c>
      <c r="F297" s="11" t="s">
        <v>419</v>
      </c>
      <c r="G297" s="11" t="s">
        <v>1245</v>
      </c>
      <c r="H297" s="11" t="s">
        <v>1246</v>
      </c>
      <c r="I297" s="11"/>
      <c r="J297" s="11" t="s">
        <v>1247</v>
      </c>
      <c r="K297" s="9" t="s">
        <v>391</v>
      </c>
    </row>
    <row r="298" customFormat="false" ht="35.05" hidden="false" customHeight="false" outlineLevel="0" collapsed="false">
      <c r="A298" s="9" t="s">
        <v>16</v>
      </c>
      <c r="B298" s="9" t="s">
        <v>11</v>
      </c>
      <c r="C298" s="9" t="s">
        <v>263</v>
      </c>
      <c r="D298" s="9" t="s">
        <v>264</v>
      </c>
      <c r="E298" s="9" t="s">
        <v>386</v>
      </c>
      <c r="F298" s="11" t="s">
        <v>396</v>
      </c>
      <c r="G298" s="11" t="s">
        <v>1248</v>
      </c>
      <c r="H298" s="11" t="s">
        <v>1249</v>
      </c>
      <c r="I298" s="11"/>
      <c r="J298" s="11" t="s">
        <v>1250</v>
      </c>
      <c r="K298" s="9" t="s">
        <v>391</v>
      </c>
    </row>
    <row r="299" customFormat="false" ht="46.25" hidden="false" customHeight="false" outlineLevel="0" collapsed="false">
      <c r="A299" s="9" t="s">
        <v>16</v>
      </c>
      <c r="B299" s="9" t="s">
        <v>11</v>
      </c>
      <c r="C299" s="9" t="s">
        <v>263</v>
      </c>
      <c r="D299" s="9" t="s">
        <v>264</v>
      </c>
      <c r="E299" s="9" t="s">
        <v>386</v>
      </c>
      <c r="F299" s="11" t="s">
        <v>722</v>
      </c>
      <c r="G299" s="11" t="s">
        <v>1251</v>
      </c>
      <c r="H299" s="11" t="s">
        <v>1252</v>
      </c>
      <c r="I299" s="11"/>
      <c r="J299" s="11" t="s">
        <v>1222</v>
      </c>
      <c r="K299" s="9" t="s">
        <v>391</v>
      </c>
    </row>
    <row r="300" customFormat="false" ht="35.05" hidden="false" customHeight="false" outlineLevel="0" collapsed="false">
      <c r="A300" s="9" t="s">
        <v>16</v>
      </c>
      <c r="B300" s="9" t="s">
        <v>11</v>
      </c>
      <c r="C300" s="9" t="s">
        <v>263</v>
      </c>
      <c r="D300" s="9" t="s">
        <v>264</v>
      </c>
      <c r="E300" s="9" t="s">
        <v>386</v>
      </c>
      <c r="F300" s="11" t="s">
        <v>441</v>
      </c>
      <c r="G300" s="11" t="s">
        <v>1116</v>
      </c>
      <c r="H300" s="11" t="s">
        <v>1253</v>
      </c>
      <c r="I300" s="11"/>
      <c r="J300" s="11" t="s">
        <v>1254</v>
      </c>
      <c r="K300" s="9" t="s">
        <v>391</v>
      </c>
    </row>
    <row r="301" customFormat="false" ht="46.25" hidden="false" customHeight="false" outlineLevel="0" collapsed="false">
      <c r="A301" s="9" t="s">
        <v>16</v>
      </c>
      <c r="B301" s="9" t="s">
        <v>11</v>
      </c>
      <c r="C301" s="9" t="s">
        <v>263</v>
      </c>
      <c r="D301" s="9" t="s">
        <v>264</v>
      </c>
      <c r="E301" s="9" t="s">
        <v>386</v>
      </c>
      <c r="F301" s="11" t="s">
        <v>441</v>
      </c>
      <c r="G301" s="11" t="s">
        <v>1255</v>
      </c>
      <c r="H301" s="11" t="s">
        <v>1256</v>
      </c>
      <c r="I301" s="11"/>
      <c r="J301" s="11" t="s">
        <v>1257</v>
      </c>
      <c r="K301" s="9" t="s">
        <v>391</v>
      </c>
    </row>
    <row r="302" customFormat="false" ht="35.05" hidden="false" customHeight="false" outlineLevel="0" collapsed="false">
      <c r="A302" s="9" t="s">
        <v>16</v>
      </c>
      <c r="B302" s="9" t="s">
        <v>11</v>
      </c>
      <c r="C302" s="9" t="s">
        <v>263</v>
      </c>
      <c r="D302" s="9" t="s">
        <v>264</v>
      </c>
      <c r="E302" s="9" t="s">
        <v>386</v>
      </c>
      <c r="F302" s="11" t="s">
        <v>767</v>
      </c>
      <c r="G302" s="11" t="s">
        <v>1258</v>
      </c>
      <c r="H302" s="11" t="s">
        <v>1259</v>
      </c>
      <c r="I302" s="11"/>
      <c r="J302" s="11" t="s">
        <v>1260</v>
      </c>
      <c r="K302" s="9" t="s">
        <v>391</v>
      </c>
    </row>
    <row r="303" customFormat="false" ht="35.05" hidden="false" customHeight="false" outlineLevel="0" collapsed="false">
      <c r="A303" s="9" t="s">
        <v>16</v>
      </c>
      <c r="B303" s="9" t="s">
        <v>11</v>
      </c>
      <c r="C303" s="9" t="s">
        <v>263</v>
      </c>
      <c r="D303" s="9" t="s">
        <v>264</v>
      </c>
      <c r="E303" s="9" t="s">
        <v>386</v>
      </c>
      <c r="F303" s="11" t="s">
        <v>1125</v>
      </c>
      <c r="G303" s="11" t="s">
        <v>1261</v>
      </c>
      <c r="H303" s="11" t="s">
        <v>1262</v>
      </c>
      <c r="I303" s="11"/>
      <c r="J303" s="11" t="s">
        <v>1231</v>
      </c>
      <c r="K303" s="9" t="s">
        <v>391</v>
      </c>
    </row>
    <row r="304" customFormat="false" ht="46.25" hidden="false" customHeight="false" outlineLevel="0" collapsed="false">
      <c r="A304" s="9" t="s">
        <v>16</v>
      </c>
      <c r="B304" s="9" t="s">
        <v>11</v>
      </c>
      <c r="C304" s="9" t="s">
        <v>263</v>
      </c>
      <c r="D304" s="9" t="s">
        <v>264</v>
      </c>
      <c r="E304" s="9" t="s">
        <v>386</v>
      </c>
      <c r="F304" s="11" t="s">
        <v>1125</v>
      </c>
      <c r="G304" s="11" t="s">
        <v>1263</v>
      </c>
      <c r="H304" s="11" t="s">
        <v>1264</v>
      </c>
      <c r="I304" s="11"/>
      <c r="J304" s="11" t="s">
        <v>1231</v>
      </c>
      <c r="K304" s="9" t="s">
        <v>391</v>
      </c>
    </row>
    <row r="305" customFormat="false" ht="46.25" hidden="false" customHeight="false" outlineLevel="0" collapsed="false">
      <c r="A305" s="9" t="s">
        <v>16</v>
      </c>
      <c r="B305" s="9" t="s">
        <v>11</v>
      </c>
      <c r="C305" s="9" t="s">
        <v>263</v>
      </c>
      <c r="D305" s="9" t="s">
        <v>264</v>
      </c>
      <c r="E305" s="9" t="s">
        <v>386</v>
      </c>
      <c r="F305" s="11" t="s">
        <v>722</v>
      </c>
      <c r="G305" s="11" t="s">
        <v>1265</v>
      </c>
      <c r="H305" s="11" t="s">
        <v>1266</v>
      </c>
      <c r="I305" s="11"/>
      <c r="J305" s="11" t="s">
        <v>1222</v>
      </c>
      <c r="K305" s="9" t="s">
        <v>391</v>
      </c>
    </row>
    <row r="306" customFormat="false" ht="46.25" hidden="false" customHeight="false" outlineLevel="0" collapsed="false">
      <c r="A306" s="9" t="s">
        <v>16</v>
      </c>
      <c r="B306" s="9" t="s">
        <v>11</v>
      </c>
      <c r="C306" s="9" t="s">
        <v>263</v>
      </c>
      <c r="D306" s="9" t="s">
        <v>264</v>
      </c>
      <c r="E306" s="9" t="s">
        <v>386</v>
      </c>
      <c r="F306" s="11" t="s">
        <v>938</v>
      </c>
      <c r="G306" s="11" t="s">
        <v>1267</v>
      </c>
      <c r="H306" s="11" t="s">
        <v>1268</v>
      </c>
      <c r="I306" s="11"/>
      <c r="J306" s="11" t="s">
        <v>1222</v>
      </c>
      <c r="K306" s="9" t="s">
        <v>391</v>
      </c>
    </row>
    <row r="307" customFormat="false" ht="46.25" hidden="false" customHeight="false" outlineLevel="0" collapsed="false">
      <c r="A307" s="9" t="s">
        <v>16</v>
      </c>
      <c r="B307" s="9" t="s">
        <v>11</v>
      </c>
      <c r="C307" s="9" t="s">
        <v>263</v>
      </c>
      <c r="D307" s="9" t="s">
        <v>264</v>
      </c>
      <c r="E307" s="9" t="s">
        <v>386</v>
      </c>
      <c r="F307" s="11" t="s">
        <v>722</v>
      </c>
      <c r="G307" s="11" t="s">
        <v>1269</v>
      </c>
      <c r="H307" s="11" t="s">
        <v>1270</v>
      </c>
      <c r="I307" s="11"/>
      <c r="J307" s="11" t="s">
        <v>1222</v>
      </c>
      <c r="K307" s="9" t="s">
        <v>391</v>
      </c>
    </row>
    <row r="308" customFormat="false" ht="46.25" hidden="false" customHeight="false" outlineLevel="0" collapsed="false">
      <c r="A308" s="9" t="s">
        <v>16</v>
      </c>
      <c r="B308" s="9" t="s">
        <v>11</v>
      </c>
      <c r="C308" s="9" t="s">
        <v>263</v>
      </c>
      <c r="D308" s="9" t="s">
        <v>264</v>
      </c>
      <c r="E308" s="9" t="s">
        <v>386</v>
      </c>
      <c r="F308" s="11" t="s">
        <v>1125</v>
      </c>
      <c r="G308" s="11" t="s">
        <v>1271</v>
      </c>
      <c r="H308" s="11" t="s">
        <v>1272</v>
      </c>
      <c r="I308" s="11"/>
      <c r="J308" s="11" t="s">
        <v>1222</v>
      </c>
      <c r="K308" s="9" t="s">
        <v>391</v>
      </c>
    </row>
    <row r="309" customFormat="false" ht="35.05" hidden="false" customHeight="false" outlineLevel="0" collapsed="false">
      <c r="A309" s="9" t="s">
        <v>16</v>
      </c>
      <c r="B309" s="9" t="s">
        <v>11</v>
      </c>
      <c r="C309" s="9" t="s">
        <v>263</v>
      </c>
      <c r="D309" s="9" t="s">
        <v>264</v>
      </c>
      <c r="E309" s="9" t="s">
        <v>386</v>
      </c>
      <c r="F309" s="11" t="s">
        <v>400</v>
      </c>
      <c r="G309" s="11" t="s">
        <v>1273</v>
      </c>
      <c r="H309" s="11" t="s">
        <v>1274</v>
      </c>
      <c r="I309" s="11"/>
      <c r="J309" s="11" t="s">
        <v>1275</v>
      </c>
      <c r="K309" s="9" t="s">
        <v>391</v>
      </c>
    </row>
    <row r="310" customFormat="false" ht="46.25" hidden="false" customHeight="false" outlineLevel="0" collapsed="false">
      <c r="A310" s="9" t="s">
        <v>16</v>
      </c>
      <c r="B310" s="9" t="s">
        <v>11</v>
      </c>
      <c r="C310" s="9" t="s">
        <v>259</v>
      </c>
      <c r="D310" s="9" t="s">
        <v>260</v>
      </c>
      <c r="E310" s="9" t="s">
        <v>386</v>
      </c>
      <c r="F310" s="11" t="s">
        <v>715</v>
      </c>
      <c r="G310" s="11" t="s">
        <v>1276</v>
      </c>
      <c r="H310" s="11" t="s">
        <v>1277</v>
      </c>
      <c r="I310" s="11"/>
      <c r="J310" s="11" t="s">
        <v>1278</v>
      </c>
      <c r="K310" s="9" t="s">
        <v>391</v>
      </c>
    </row>
    <row r="311" customFormat="false" ht="46.25" hidden="false" customHeight="false" outlineLevel="0" collapsed="false">
      <c r="A311" s="9" t="s">
        <v>16</v>
      </c>
      <c r="B311" s="9" t="s">
        <v>11</v>
      </c>
      <c r="C311" s="9" t="s">
        <v>259</v>
      </c>
      <c r="D311" s="9" t="s">
        <v>260</v>
      </c>
      <c r="E311" s="9" t="s">
        <v>386</v>
      </c>
      <c r="F311" s="11" t="s">
        <v>400</v>
      </c>
      <c r="G311" s="11" t="s">
        <v>1279</v>
      </c>
      <c r="H311" s="11" t="s">
        <v>1280</v>
      </c>
      <c r="I311" s="11"/>
      <c r="J311" s="11" t="s">
        <v>1281</v>
      </c>
      <c r="K311" s="9" t="s">
        <v>391</v>
      </c>
    </row>
    <row r="312" customFormat="false" ht="68.65" hidden="false" customHeight="false" outlineLevel="0" collapsed="false">
      <c r="A312" s="9" t="s">
        <v>16</v>
      </c>
      <c r="B312" s="9" t="s">
        <v>11</v>
      </c>
      <c r="C312" s="9" t="s">
        <v>259</v>
      </c>
      <c r="D312" s="9" t="s">
        <v>260</v>
      </c>
      <c r="E312" s="9" t="s">
        <v>386</v>
      </c>
      <c r="F312" s="11" t="s">
        <v>419</v>
      </c>
      <c r="G312" s="11" t="s">
        <v>1282</v>
      </c>
      <c r="H312" s="11" t="s">
        <v>1283</v>
      </c>
      <c r="I312" s="11"/>
      <c r="J312" s="11" t="s">
        <v>1284</v>
      </c>
      <c r="K312" s="9" t="s">
        <v>391</v>
      </c>
    </row>
    <row r="313" customFormat="false" ht="57.45" hidden="false" customHeight="false" outlineLevel="0" collapsed="false">
      <c r="A313" s="9" t="s">
        <v>16</v>
      </c>
      <c r="B313" s="9" t="s">
        <v>11</v>
      </c>
      <c r="C313" s="9" t="s">
        <v>259</v>
      </c>
      <c r="D313" s="9" t="s">
        <v>260</v>
      </c>
      <c r="E313" s="9" t="s">
        <v>386</v>
      </c>
      <c r="F313" s="11" t="s">
        <v>419</v>
      </c>
      <c r="G313" s="11" t="s">
        <v>1285</v>
      </c>
      <c r="H313" s="11" t="s">
        <v>1286</v>
      </c>
      <c r="I313" s="11"/>
      <c r="J313" s="11" t="s">
        <v>1287</v>
      </c>
      <c r="K313" s="9" t="s">
        <v>391</v>
      </c>
    </row>
    <row r="314" customFormat="false" ht="57.45" hidden="false" customHeight="false" outlineLevel="0" collapsed="false">
      <c r="A314" s="9" t="s">
        <v>16</v>
      </c>
      <c r="B314" s="9" t="s">
        <v>11</v>
      </c>
      <c r="C314" s="9" t="s">
        <v>259</v>
      </c>
      <c r="D314" s="9" t="s">
        <v>260</v>
      </c>
      <c r="E314" s="9" t="s">
        <v>386</v>
      </c>
      <c r="F314" s="11" t="s">
        <v>1288</v>
      </c>
      <c r="G314" s="11" t="s">
        <v>1289</v>
      </c>
      <c r="H314" s="11" t="s">
        <v>1290</v>
      </c>
      <c r="I314" s="11"/>
      <c r="J314" s="11" t="s">
        <v>1287</v>
      </c>
      <c r="K314" s="9" t="s">
        <v>391</v>
      </c>
    </row>
    <row r="315" customFormat="false" ht="68.65" hidden="false" customHeight="false" outlineLevel="0" collapsed="false">
      <c r="A315" s="9" t="s">
        <v>16</v>
      </c>
      <c r="B315" s="9" t="s">
        <v>11</v>
      </c>
      <c r="C315" s="9" t="s">
        <v>259</v>
      </c>
      <c r="D315" s="9" t="s">
        <v>260</v>
      </c>
      <c r="E315" s="9" t="s">
        <v>386</v>
      </c>
      <c r="F315" s="11" t="s">
        <v>767</v>
      </c>
      <c r="G315" s="11" t="s">
        <v>1291</v>
      </c>
      <c r="H315" s="11" t="s">
        <v>1292</v>
      </c>
      <c r="I315" s="11"/>
      <c r="J315" s="11" t="s">
        <v>1293</v>
      </c>
      <c r="K315" s="9" t="s">
        <v>391</v>
      </c>
    </row>
    <row r="316" customFormat="false" ht="35.05" hidden="false" customHeight="false" outlineLevel="0" collapsed="false">
      <c r="A316" s="9" t="s">
        <v>16</v>
      </c>
      <c r="B316" s="9" t="s">
        <v>11</v>
      </c>
      <c r="C316" s="9" t="s">
        <v>259</v>
      </c>
      <c r="D316" s="9" t="s">
        <v>260</v>
      </c>
      <c r="E316" s="9" t="s">
        <v>386</v>
      </c>
      <c r="F316" s="11" t="s">
        <v>767</v>
      </c>
      <c r="G316" s="11" t="s">
        <v>1294</v>
      </c>
      <c r="H316" s="11" t="s">
        <v>1295</v>
      </c>
      <c r="I316" s="11"/>
      <c r="J316" s="11" t="s">
        <v>1296</v>
      </c>
      <c r="K316" s="9" t="s">
        <v>391</v>
      </c>
    </row>
    <row r="317" customFormat="false" ht="35.05" hidden="false" customHeight="false" outlineLevel="0" collapsed="false">
      <c r="A317" s="9" t="s">
        <v>16</v>
      </c>
      <c r="B317" s="9" t="s">
        <v>11</v>
      </c>
      <c r="C317" s="9" t="s">
        <v>259</v>
      </c>
      <c r="D317" s="9" t="s">
        <v>260</v>
      </c>
      <c r="E317" s="9" t="s">
        <v>386</v>
      </c>
      <c r="F317" s="11" t="s">
        <v>767</v>
      </c>
      <c r="G317" s="11" t="s">
        <v>1297</v>
      </c>
      <c r="H317" s="11" t="s">
        <v>1298</v>
      </c>
      <c r="I317" s="11"/>
      <c r="J317" s="11" t="s">
        <v>1299</v>
      </c>
      <c r="K317" s="9" t="s">
        <v>391</v>
      </c>
    </row>
    <row r="318" customFormat="false" ht="35.05" hidden="false" customHeight="false" outlineLevel="0" collapsed="false">
      <c r="A318" s="9" t="s">
        <v>16</v>
      </c>
      <c r="B318" s="9" t="s">
        <v>11</v>
      </c>
      <c r="C318" s="9" t="s">
        <v>259</v>
      </c>
      <c r="D318" s="9" t="s">
        <v>260</v>
      </c>
      <c r="E318" s="9" t="s">
        <v>386</v>
      </c>
      <c r="F318" s="11" t="s">
        <v>392</v>
      </c>
      <c r="G318" s="11" t="s">
        <v>1300</v>
      </c>
      <c r="H318" s="11" t="s">
        <v>1301</v>
      </c>
      <c r="I318" s="11"/>
      <c r="J318" s="11" t="s">
        <v>1302</v>
      </c>
      <c r="K318" s="9" t="s">
        <v>391</v>
      </c>
    </row>
    <row r="319" customFormat="false" ht="23.85" hidden="false" customHeight="false" outlineLevel="0" collapsed="false">
      <c r="A319" s="9" t="s">
        <v>16</v>
      </c>
      <c r="B319" s="9" t="s">
        <v>11</v>
      </c>
      <c r="C319" s="9" t="s">
        <v>259</v>
      </c>
      <c r="D319" s="9" t="s">
        <v>260</v>
      </c>
      <c r="E319" s="9" t="s">
        <v>386</v>
      </c>
      <c r="F319" s="11" t="s">
        <v>396</v>
      </c>
      <c r="G319" s="11" t="s">
        <v>1303</v>
      </c>
      <c r="H319" s="11" t="s">
        <v>1304</v>
      </c>
      <c r="I319" s="11"/>
      <c r="J319" s="11" t="s">
        <v>1302</v>
      </c>
      <c r="K319" s="9" t="s">
        <v>391</v>
      </c>
    </row>
    <row r="320" customFormat="false" ht="46.25" hidden="false" customHeight="false" outlineLevel="0" collapsed="false">
      <c r="A320" s="9" t="s">
        <v>16</v>
      </c>
      <c r="B320" s="9" t="s">
        <v>11</v>
      </c>
      <c r="C320" s="9" t="s">
        <v>259</v>
      </c>
      <c r="D320" s="9" t="s">
        <v>260</v>
      </c>
      <c r="E320" s="9" t="s">
        <v>386</v>
      </c>
      <c r="F320" s="11" t="s">
        <v>410</v>
      </c>
      <c r="G320" s="11" t="s">
        <v>1305</v>
      </c>
      <c r="H320" s="11" t="s">
        <v>1306</v>
      </c>
      <c r="I320" s="11"/>
      <c r="J320" s="11" t="s">
        <v>1307</v>
      </c>
      <c r="K320" s="9" t="s">
        <v>391</v>
      </c>
    </row>
    <row r="321" customFormat="false" ht="57.45" hidden="false" customHeight="false" outlineLevel="0" collapsed="false">
      <c r="A321" s="9" t="s">
        <v>16</v>
      </c>
      <c r="B321" s="9" t="s">
        <v>11</v>
      </c>
      <c r="C321" s="9" t="s">
        <v>259</v>
      </c>
      <c r="D321" s="9" t="s">
        <v>260</v>
      </c>
      <c r="E321" s="9" t="s">
        <v>386</v>
      </c>
      <c r="F321" s="11" t="s">
        <v>387</v>
      </c>
      <c r="G321" s="11" t="s">
        <v>1308</v>
      </c>
      <c r="H321" s="11" t="s">
        <v>1309</v>
      </c>
      <c r="I321" s="11"/>
      <c r="J321" s="11" t="s">
        <v>1310</v>
      </c>
      <c r="K321" s="9" t="s">
        <v>391</v>
      </c>
    </row>
    <row r="322" customFormat="false" ht="46.25" hidden="false" customHeight="false" outlineLevel="0" collapsed="false">
      <c r="A322" s="9" t="s">
        <v>16</v>
      </c>
      <c r="B322" s="9" t="s">
        <v>11</v>
      </c>
      <c r="C322" s="9" t="s">
        <v>259</v>
      </c>
      <c r="D322" s="9" t="s">
        <v>260</v>
      </c>
      <c r="E322" s="9" t="s">
        <v>386</v>
      </c>
      <c r="F322" s="11" t="s">
        <v>410</v>
      </c>
      <c r="G322" s="11" t="s">
        <v>1311</v>
      </c>
      <c r="H322" s="11" t="s">
        <v>1312</v>
      </c>
      <c r="I322" s="11"/>
      <c r="J322" s="11" t="s">
        <v>1313</v>
      </c>
      <c r="K322" s="9" t="s">
        <v>391</v>
      </c>
    </row>
    <row r="323" customFormat="false" ht="35.05" hidden="false" customHeight="false" outlineLevel="0" collapsed="false">
      <c r="A323" s="9" t="s">
        <v>16</v>
      </c>
      <c r="B323" s="9" t="s">
        <v>11</v>
      </c>
      <c r="C323" s="9" t="s">
        <v>259</v>
      </c>
      <c r="D323" s="9" t="s">
        <v>260</v>
      </c>
      <c r="E323" s="9" t="s">
        <v>386</v>
      </c>
      <c r="F323" s="11" t="s">
        <v>410</v>
      </c>
      <c r="G323" s="11" t="s">
        <v>1314</v>
      </c>
      <c r="H323" s="11" t="s">
        <v>1315</v>
      </c>
      <c r="I323" s="11"/>
      <c r="J323" s="11" t="s">
        <v>1313</v>
      </c>
      <c r="K323" s="9" t="s">
        <v>391</v>
      </c>
    </row>
    <row r="324" customFormat="false" ht="35.05" hidden="false" customHeight="false" outlineLevel="0" collapsed="false">
      <c r="A324" s="9" t="s">
        <v>16</v>
      </c>
      <c r="B324" s="9" t="s">
        <v>11</v>
      </c>
      <c r="C324" s="9" t="s">
        <v>259</v>
      </c>
      <c r="D324" s="9" t="s">
        <v>260</v>
      </c>
      <c r="E324" s="9" t="s">
        <v>386</v>
      </c>
      <c r="F324" s="11" t="s">
        <v>410</v>
      </c>
      <c r="G324" s="11" t="s">
        <v>1316</v>
      </c>
      <c r="H324" s="11" t="s">
        <v>1317</v>
      </c>
      <c r="I324" s="11"/>
      <c r="J324" s="11" t="s">
        <v>1313</v>
      </c>
      <c r="K324" s="9" t="s">
        <v>391</v>
      </c>
    </row>
    <row r="325" customFormat="false" ht="57.45" hidden="false" customHeight="false" outlineLevel="0" collapsed="false">
      <c r="A325" s="9" t="s">
        <v>16</v>
      </c>
      <c r="B325" s="9" t="s">
        <v>11</v>
      </c>
      <c r="C325" s="9" t="s">
        <v>259</v>
      </c>
      <c r="D325" s="9" t="s">
        <v>260</v>
      </c>
      <c r="E325" s="9" t="s">
        <v>386</v>
      </c>
      <c r="F325" s="11" t="s">
        <v>410</v>
      </c>
      <c r="G325" s="11" t="s">
        <v>1318</v>
      </c>
      <c r="H325" s="11" t="s">
        <v>1319</v>
      </c>
      <c r="I325" s="11"/>
      <c r="J325" s="11" t="s">
        <v>1287</v>
      </c>
      <c r="K325" s="9" t="s">
        <v>391</v>
      </c>
    </row>
    <row r="326" customFormat="false" ht="57.45" hidden="false" customHeight="false" outlineLevel="0" collapsed="false">
      <c r="A326" s="9" t="s">
        <v>16</v>
      </c>
      <c r="B326" s="9" t="s">
        <v>11</v>
      </c>
      <c r="C326" s="9" t="s">
        <v>259</v>
      </c>
      <c r="D326" s="9" t="s">
        <v>260</v>
      </c>
      <c r="E326" s="9" t="s">
        <v>386</v>
      </c>
      <c r="F326" s="11" t="s">
        <v>387</v>
      </c>
      <c r="G326" s="11" t="s">
        <v>1320</v>
      </c>
      <c r="H326" s="11" t="s">
        <v>1321</v>
      </c>
      <c r="I326" s="11"/>
      <c r="J326" s="11" t="s">
        <v>1322</v>
      </c>
      <c r="K326" s="9" t="s">
        <v>391</v>
      </c>
    </row>
    <row r="327" customFormat="false" ht="68.65" hidden="false" customHeight="false" outlineLevel="0" collapsed="false">
      <c r="A327" s="9" t="s">
        <v>16</v>
      </c>
      <c r="B327" s="9" t="s">
        <v>11</v>
      </c>
      <c r="C327" s="9" t="s">
        <v>259</v>
      </c>
      <c r="D327" s="9" t="s">
        <v>260</v>
      </c>
      <c r="E327" s="9" t="s">
        <v>386</v>
      </c>
      <c r="F327" s="11" t="s">
        <v>387</v>
      </c>
      <c r="G327" s="11" t="s">
        <v>1323</v>
      </c>
      <c r="H327" s="11" t="s">
        <v>1324</v>
      </c>
      <c r="I327" s="11"/>
      <c r="J327" s="11" t="s">
        <v>1284</v>
      </c>
      <c r="K327" s="9" t="s">
        <v>391</v>
      </c>
    </row>
    <row r="328" customFormat="false" ht="35.05" hidden="false" customHeight="false" outlineLevel="0" collapsed="false">
      <c r="A328" s="9" t="s">
        <v>16</v>
      </c>
      <c r="B328" s="9" t="s">
        <v>11</v>
      </c>
      <c r="C328" s="9" t="s">
        <v>267</v>
      </c>
      <c r="D328" s="9" t="s">
        <v>268</v>
      </c>
      <c r="E328" s="9" t="s">
        <v>386</v>
      </c>
      <c r="F328" s="11" t="s">
        <v>410</v>
      </c>
      <c r="G328" s="11" t="s">
        <v>1325</v>
      </c>
      <c r="H328" s="11" t="s">
        <v>1326</v>
      </c>
      <c r="I328" s="11"/>
      <c r="J328" s="11" t="s">
        <v>1327</v>
      </c>
      <c r="K328" s="9" t="s">
        <v>391</v>
      </c>
    </row>
    <row r="329" customFormat="false" ht="57.45" hidden="false" customHeight="false" outlineLevel="0" collapsed="false">
      <c r="A329" s="9" t="s">
        <v>16</v>
      </c>
      <c r="B329" s="9" t="s">
        <v>11</v>
      </c>
      <c r="C329" s="9" t="s">
        <v>267</v>
      </c>
      <c r="D329" s="9" t="s">
        <v>268</v>
      </c>
      <c r="E329" s="9" t="s">
        <v>386</v>
      </c>
      <c r="F329" s="11" t="s">
        <v>400</v>
      </c>
      <c r="G329" s="11" t="s">
        <v>1328</v>
      </c>
      <c r="H329" s="11" t="s">
        <v>1329</v>
      </c>
      <c r="I329" s="11"/>
      <c r="J329" s="11" t="s">
        <v>1330</v>
      </c>
      <c r="K329" s="9" t="s">
        <v>391</v>
      </c>
    </row>
    <row r="330" customFormat="false" ht="68.65" hidden="false" customHeight="false" outlineLevel="0" collapsed="false">
      <c r="A330" s="9" t="s">
        <v>16</v>
      </c>
      <c r="B330" s="9" t="s">
        <v>11</v>
      </c>
      <c r="C330" s="9" t="s">
        <v>267</v>
      </c>
      <c r="D330" s="9" t="s">
        <v>268</v>
      </c>
      <c r="E330" s="9" t="s">
        <v>386</v>
      </c>
      <c r="F330" s="11" t="s">
        <v>1331</v>
      </c>
      <c r="G330" s="11" t="s">
        <v>1332</v>
      </c>
      <c r="H330" s="11" t="s">
        <v>1333</v>
      </c>
      <c r="I330" s="11"/>
      <c r="J330" s="11" t="s">
        <v>1334</v>
      </c>
      <c r="K330" s="9" t="s">
        <v>391</v>
      </c>
    </row>
    <row r="331" customFormat="false" ht="46.25" hidden="false" customHeight="false" outlineLevel="0" collapsed="false">
      <c r="A331" s="9" t="s">
        <v>16</v>
      </c>
      <c r="B331" s="9" t="s">
        <v>11</v>
      </c>
      <c r="C331" s="9" t="s">
        <v>267</v>
      </c>
      <c r="D331" s="9" t="s">
        <v>268</v>
      </c>
      <c r="E331" s="9" t="s">
        <v>386</v>
      </c>
      <c r="F331" s="11" t="s">
        <v>392</v>
      </c>
      <c r="G331" s="11" t="s">
        <v>1335</v>
      </c>
      <c r="H331" s="11" t="s">
        <v>1336</v>
      </c>
      <c r="I331" s="11"/>
      <c r="J331" s="11" t="s">
        <v>1337</v>
      </c>
      <c r="K331" s="9" t="s">
        <v>391</v>
      </c>
    </row>
    <row r="332" customFormat="false" ht="68.65" hidden="false" customHeight="false" outlineLevel="0" collapsed="false">
      <c r="A332" s="9" t="s">
        <v>16</v>
      </c>
      <c r="B332" s="9" t="s">
        <v>11</v>
      </c>
      <c r="C332" s="9" t="s">
        <v>267</v>
      </c>
      <c r="D332" s="9" t="s">
        <v>268</v>
      </c>
      <c r="E332" s="9" t="s">
        <v>386</v>
      </c>
      <c r="F332" s="11" t="s">
        <v>666</v>
      </c>
      <c r="G332" s="11" t="s">
        <v>1338</v>
      </c>
      <c r="H332" s="11" t="s">
        <v>1339</v>
      </c>
      <c r="I332" s="11"/>
      <c r="J332" s="11" t="s">
        <v>1340</v>
      </c>
      <c r="K332" s="9" t="s">
        <v>391</v>
      </c>
    </row>
    <row r="333" customFormat="false" ht="68.65" hidden="false" customHeight="false" outlineLevel="0" collapsed="false">
      <c r="A333" s="9" t="s">
        <v>16</v>
      </c>
      <c r="B333" s="9" t="s">
        <v>11</v>
      </c>
      <c r="C333" s="9" t="s">
        <v>267</v>
      </c>
      <c r="D333" s="9" t="s">
        <v>268</v>
      </c>
      <c r="E333" s="9" t="s">
        <v>386</v>
      </c>
      <c r="F333" s="11" t="s">
        <v>419</v>
      </c>
      <c r="G333" s="11" t="s">
        <v>1341</v>
      </c>
      <c r="H333" s="11" t="s">
        <v>1342</v>
      </c>
      <c r="I333" s="11"/>
      <c r="J333" s="11" t="s">
        <v>1343</v>
      </c>
      <c r="K333" s="9" t="s">
        <v>391</v>
      </c>
    </row>
    <row r="334" customFormat="false" ht="46.25" hidden="false" customHeight="false" outlineLevel="0" collapsed="false">
      <c r="A334" s="9" t="s">
        <v>16</v>
      </c>
      <c r="B334" s="9" t="s">
        <v>11</v>
      </c>
      <c r="C334" s="9" t="s">
        <v>267</v>
      </c>
      <c r="D334" s="9" t="s">
        <v>268</v>
      </c>
      <c r="E334" s="9" t="s">
        <v>386</v>
      </c>
      <c r="F334" s="11" t="s">
        <v>396</v>
      </c>
      <c r="G334" s="11" t="s">
        <v>1344</v>
      </c>
      <c r="H334" s="11" t="s">
        <v>1345</v>
      </c>
      <c r="I334" s="11"/>
      <c r="J334" s="11" t="s">
        <v>1346</v>
      </c>
      <c r="K334" s="9" t="s">
        <v>391</v>
      </c>
    </row>
    <row r="335" customFormat="false" ht="57.45" hidden="false" customHeight="false" outlineLevel="0" collapsed="false">
      <c r="A335" s="9" t="s">
        <v>16</v>
      </c>
      <c r="B335" s="9" t="s">
        <v>11</v>
      </c>
      <c r="C335" s="9" t="s">
        <v>267</v>
      </c>
      <c r="D335" s="9" t="s">
        <v>268</v>
      </c>
      <c r="E335" s="9" t="s">
        <v>386</v>
      </c>
      <c r="F335" s="11" t="s">
        <v>767</v>
      </c>
      <c r="G335" s="11" t="s">
        <v>1347</v>
      </c>
      <c r="H335" s="11" t="s">
        <v>1348</v>
      </c>
      <c r="I335" s="11"/>
      <c r="J335" s="11" t="s">
        <v>1349</v>
      </c>
      <c r="K335" s="9" t="s">
        <v>391</v>
      </c>
    </row>
    <row r="336" customFormat="false" ht="68.65" hidden="false" customHeight="false" outlineLevel="0" collapsed="false">
      <c r="A336" s="9" t="s">
        <v>16</v>
      </c>
      <c r="B336" s="9" t="s">
        <v>11</v>
      </c>
      <c r="C336" s="9" t="s">
        <v>267</v>
      </c>
      <c r="D336" s="9" t="s">
        <v>268</v>
      </c>
      <c r="E336" s="9" t="s">
        <v>386</v>
      </c>
      <c r="F336" s="11" t="s">
        <v>387</v>
      </c>
      <c r="G336" s="11" t="s">
        <v>1350</v>
      </c>
      <c r="H336" s="11" t="s">
        <v>1351</v>
      </c>
      <c r="I336" s="11"/>
      <c r="J336" s="11" t="s">
        <v>1352</v>
      </c>
      <c r="K336" s="9" t="s">
        <v>391</v>
      </c>
    </row>
    <row r="337" customFormat="false" ht="57.45" hidden="false" customHeight="false" outlineLevel="0" collapsed="false">
      <c r="A337" s="9" t="s">
        <v>16</v>
      </c>
      <c r="B337" s="9" t="s">
        <v>11</v>
      </c>
      <c r="C337" s="9" t="s">
        <v>267</v>
      </c>
      <c r="D337" s="9" t="s">
        <v>268</v>
      </c>
      <c r="E337" s="9" t="s">
        <v>386</v>
      </c>
      <c r="F337" s="11" t="s">
        <v>387</v>
      </c>
      <c r="G337" s="11" t="s">
        <v>1353</v>
      </c>
      <c r="H337" s="11" t="s">
        <v>1354</v>
      </c>
      <c r="I337" s="11"/>
      <c r="J337" s="11" t="s">
        <v>1355</v>
      </c>
      <c r="K337" s="9" t="s">
        <v>391</v>
      </c>
    </row>
    <row r="338" customFormat="false" ht="68.65" hidden="false" customHeight="false" outlineLevel="0" collapsed="false">
      <c r="A338" s="9" t="s">
        <v>16</v>
      </c>
      <c r="B338" s="9" t="s">
        <v>11</v>
      </c>
      <c r="C338" s="9" t="s">
        <v>267</v>
      </c>
      <c r="D338" s="9" t="s">
        <v>268</v>
      </c>
      <c r="E338" s="9" t="s">
        <v>386</v>
      </c>
      <c r="F338" s="11" t="s">
        <v>387</v>
      </c>
      <c r="G338" s="11" t="s">
        <v>1356</v>
      </c>
      <c r="H338" s="11" t="s">
        <v>1357</v>
      </c>
      <c r="I338" s="11"/>
      <c r="J338" s="11" t="s">
        <v>1358</v>
      </c>
      <c r="K338" s="9" t="s">
        <v>391</v>
      </c>
    </row>
    <row r="339" customFormat="false" ht="57.45" hidden="false" customHeight="false" outlineLevel="0" collapsed="false">
      <c r="A339" s="9" t="s">
        <v>16</v>
      </c>
      <c r="B339" s="9" t="s">
        <v>11</v>
      </c>
      <c r="C339" s="9" t="s">
        <v>267</v>
      </c>
      <c r="D339" s="9" t="s">
        <v>268</v>
      </c>
      <c r="E339" s="9" t="s">
        <v>386</v>
      </c>
      <c r="F339" s="11" t="s">
        <v>387</v>
      </c>
      <c r="G339" s="11" t="s">
        <v>1359</v>
      </c>
      <c r="H339" s="11" t="s">
        <v>1360</v>
      </c>
      <c r="I339" s="11"/>
      <c r="J339" s="11" t="s">
        <v>1361</v>
      </c>
      <c r="K339" s="9" t="s">
        <v>391</v>
      </c>
    </row>
    <row r="340" customFormat="false" ht="68.65" hidden="false" customHeight="false" outlineLevel="0" collapsed="false">
      <c r="A340" s="9" t="s">
        <v>16</v>
      </c>
      <c r="B340" s="9" t="s">
        <v>11</v>
      </c>
      <c r="C340" s="9" t="s">
        <v>267</v>
      </c>
      <c r="D340" s="9" t="s">
        <v>268</v>
      </c>
      <c r="E340" s="9" t="s">
        <v>386</v>
      </c>
      <c r="F340" s="11" t="s">
        <v>387</v>
      </c>
      <c r="G340" s="11" t="s">
        <v>1362</v>
      </c>
      <c r="H340" s="11" t="s">
        <v>1363</v>
      </c>
      <c r="I340" s="11"/>
      <c r="J340" s="11" t="s">
        <v>1364</v>
      </c>
      <c r="K340" s="9" t="s">
        <v>391</v>
      </c>
    </row>
    <row r="341" customFormat="false" ht="68.65" hidden="false" customHeight="false" outlineLevel="0" collapsed="false">
      <c r="A341" s="9" t="s">
        <v>16</v>
      </c>
      <c r="B341" s="9" t="s">
        <v>11</v>
      </c>
      <c r="C341" s="9" t="s">
        <v>267</v>
      </c>
      <c r="D341" s="9" t="s">
        <v>268</v>
      </c>
      <c r="E341" s="9" t="s">
        <v>386</v>
      </c>
      <c r="F341" s="11" t="s">
        <v>410</v>
      </c>
      <c r="G341" s="11" t="s">
        <v>1365</v>
      </c>
      <c r="H341" s="11" t="s">
        <v>1366</v>
      </c>
      <c r="I341" s="11"/>
      <c r="J341" s="11" t="s">
        <v>1367</v>
      </c>
      <c r="K341" s="9" t="s">
        <v>391</v>
      </c>
    </row>
    <row r="342" customFormat="false" ht="79.85" hidden="false" customHeight="false" outlineLevel="0" collapsed="false">
      <c r="A342" s="9" t="s">
        <v>16</v>
      </c>
      <c r="B342" s="9" t="s">
        <v>11</v>
      </c>
      <c r="C342" s="9" t="s">
        <v>267</v>
      </c>
      <c r="D342" s="9" t="s">
        <v>268</v>
      </c>
      <c r="E342" s="9" t="s">
        <v>386</v>
      </c>
      <c r="F342" s="11" t="s">
        <v>410</v>
      </c>
      <c r="G342" s="11" t="s">
        <v>1368</v>
      </c>
      <c r="H342" s="11" t="s">
        <v>1369</v>
      </c>
      <c r="I342" s="11"/>
      <c r="J342" s="11" t="s">
        <v>1370</v>
      </c>
      <c r="K342" s="9" t="s">
        <v>391</v>
      </c>
    </row>
    <row r="343" customFormat="false" ht="68.65" hidden="false" customHeight="false" outlineLevel="0" collapsed="false">
      <c r="A343" s="9" t="s">
        <v>16</v>
      </c>
      <c r="B343" s="9" t="s">
        <v>11</v>
      </c>
      <c r="C343" s="9" t="s">
        <v>267</v>
      </c>
      <c r="D343" s="9" t="s">
        <v>268</v>
      </c>
      <c r="E343" s="9" t="s">
        <v>386</v>
      </c>
      <c r="F343" s="11" t="s">
        <v>410</v>
      </c>
      <c r="G343" s="11" t="s">
        <v>1371</v>
      </c>
      <c r="H343" s="11" t="s">
        <v>1372</v>
      </c>
      <c r="I343" s="11"/>
      <c r="J343" s="11" t="s">
        <v>1373</v>
      </c>
      <c r="K343" s="9" t="s">
        <v>391</v>
      </c>
    </row>
    <row r="344" customFormat="false" ht="46.25" hidden="false" customHeight="false" outlineLevel="0" collapsed="false">
      <c r="A344" s="9" t="s">
        <v>16</v>
      </c>
      <c r="B344" s="9" t="s">
        <v>17</v>
      </c>
      <c r="C344" s="9" t="s">
        <v>289</v>
      </c>
      <c r="D344" s="9" t="s">
        <v>290</v>
      </c>
      <c r="E344" s="9" t="s">
        <v>386</v>
      </c>
      <c r="F344" s="11" t="s">
        <v>400</v>
      </c>
      <c r="G344" s="11" t="s">
        <v>1374</v>
      </c>
      <c r="H344" s="11" t="s">
        <v>1375</v>
      </c>
      <c r="I344" s="11"/>
      <c r="J344" s="11" t="s">
        <v>1376</v>
      </c>
      <c r="K344" s="9" t="s">
        <v>391</v>
      </c>
    </row>
    <row r="345" customFormat="false" ht="46.25" hidden="false" customHeight="false" outlineLevel="0" collapsed="false">
      <c r="A345" s="9" t="s">
        <v>16</v>
      </c>
      <c r="B345" s="9" t="s">
        <v>17</v>
      </c>
      <c r="C345" s="9" t="s">
        <v>289</v>
      </c>
      <c r="D345" s="9" t="s">
        <v>290</v>
      </c>
      <c r="E345" s="9" t="s">
        <v>386</v>
      </c>
      <c r="F345" s="11" t="s">
        <v>400</v>
      </c>
      <c r="G345" s="11" t="s">
        <v>1377</v>
      </c>
      <c r="H345" s="11" t="s">
        <v>1378</v>
      </c>
      <c r="I345" s="11"/>
      <c r="J345" s="11" t="s">
        <v>1376</v>
      </c>
      <c r="K345" s="9" t="s">
        <v>391</v>
      </c>
    </row>
    <row r="346" customFormat="false" ht="46.25" hidden="false" customHeight="false" outlineLevel="0" collapsed="false">
      <c r="A346" s="9" t="s">
        <v>16</v>
      </c>
      <c r="B346" s="9" t="s">
        <v>17</v>
      </c>
      <c r="C346" s="9" t="s">
        <v>289</v>
      </c>
      <c r="D346" s="9" t="s">
        <v>290</v>
      </c>
      <c r="E346" s="9" t="s">
        <v>386</v>
      </c>
      <c r="F346" s="11" t="s">
        <v>1379</v>
      </c>
      <c r="G346" s="11" t="s">
        <v>1380</v>
      </c>
      <c r="H346" s="11" t="s">
        <v>1381</v>
      </c>
      <c r="I346" s="11"/>
      <c r="J346" s="11" t="s">
        <v>1382</v>
      </c>
      <c r="K346" s="9" t="s">
        <v>391</v>
      </c>
    </row>
    <row r="347" customFormat="false" ht="46.25" hidden="false" customHeight="false" outlineLevel="0" collapsed="false">
      <c r="A347" s="9" t="s">
        <v>16</v>
      </c>
      <c r="B347" s="9" t="s">
        <v>17</v>
      </c>
      <c r="C347" s="9" t="s">
        <v>289</v>
      </c>
      <c r="D347" s="9" t="s">
        <v>290</v>
      </c>
      <c r="E347" s="9" t="s">
        <v>386</v>
      </c>
      <c r="F347" s="11" t="s">
        <v>441</v>
      </c>
      <c r="G347" s="11" t="s">
        <v>1383</v>
      </c>
      <c r="H347" s="11" t="s">
        <v>1384</v>
      </c>
      <c r="I347" s="11"/>
      <c r="J347" s="11" t="s">
        <v>1385</v>
      </c>
      <c r="K347" s="9" t="s">
        <v>391</v>
      </c>
    </row>
    <row r="348" customFormat="false" ht="46.25" hidden="false" customHeight="false" outlineLevel="0" collapsed="false">
      <c r="A348" s="9" t="s">
        <v>16</v>
      </c>
      <c r="B348" s="9" t="s">
        <v>17</v>
      </c>
      <c r="C348" s="9" t="s">
        <v>289</v>
      </c>
      <c r="D348" s="9" t="s">
        <v>290</v>
      </c>
      <c r="E348" s="9" t="s">
        <v>386</v>
      </c>
      <c r="F348" s="11" t="s">
        <v>392</v>
      </c>
      <c r="G348" s="11" t="s">
        <v>1386</v>
      </c>
      <c r="H348" s="11" t="s">
        <v>1387</v>
      </c>
      <c r="I348" s="11"/>
      <c r="J348" s="11" t="s">
        <v>1388</v>
      </c>
      <c r="K348" s="9" t="s">
        <v>391</v>
      </c>
    </row>
    <row r="349" customFormat="false" ht="57.45" hidden="false" customHeight="false" outlineLevel="0" collapsed="false">
      <c r="A349" s="9" t="s">
        <v>16</v>
      </c>
      <c r="B349" s="9" t="s">
        <v>17</v>
      </c>
      <c r="C349" s="9" t="s">
        <v>289</v>
      </c>
      <c r="D349" s="9" t="s">
        <v>290</v>
      </c>
      <c r="E349" s="9" t="s">
        <v>465</v>
      </c>
      <c r="F349" s="11" t="s">
        <v>466</v>
      </c>
      <c r="G349" s="11" t="s">
        <v>1389</v>
      </c>
      <c r="H349" s="11" t="s">
        <v>1390</v>
      </c>
      <c r="I349" s="11"/>
      <c r="J349" s="11" t="s">
        <v>1391</v>
      </c>
      <c r="K349" s="9" t="s">
        <v>391</v>
      </c>
    </row>
    <row r="350" customFormat="false" ht="46.25" hidden="false" customHeight="false" outlineLevel="0" collapsed="false">
      <c r="A350" s="9" t="s">
        <v>16</v>
      </c>
      <c r="B350" s="9" t="s">
        <v>17</v>
      </c>
      <c r="C350" s="9" t="s">
        <v>285</v>
      </c>
      <c r="D350" s="9" t="s">
        <v>286</v>
      </c>
      <c r="E350" s="9" t="s">
        <v>386</v>
      </c>
      <c r="F350" s="11" t="s">
        <v>387</v>
      </c>
      <c r="G350" s="11" t="s">
        <v>1392</v>
      </c>
      <c r="H350" s="11" t="s">
        <v>1393</v>
      </c>
      <c r="I350" s="11"/>
      <c r="J350" s="11" t="s">
        <v>1394</v>
      </c>
      <c r="K350" s="9" t="s">
        <v>391</v>
      </c>
    </row>
    <row r="351" customFormat="false" ht="46.25" hidden="false" customHeight="false" outlineLevel="0" collapsed="false">
      <c r="A351" s="9" t="s">
        <v>16</v>
      </c>
      <c r="B351" s="9" t="s">
        <v>17</v>
      </c>
      <c r="C351" s="9" t="s">
        <v>285</v>
      </c>
      <c r="D351" s="9" t="s">
        <v>286</v>
      </c>
      <c r="E351" s="9" t="s">
        <v>386</v>
      </c>
      <c r="F351" s="11" t="s">
        <v>410</v>
      </c>
      <c r="G351" s="11" t="s">
        <v>1395</v>
      </c>
      <c r="H351" s="11" t="s">
        <v>1396</v>
      </c>
      <c r="I351" s="11"/>
      <c r="J351" s="11" t="s">
        <v>1394</v>
      </c>
      <c r="K351" s="9" t="s">
        <v>391</v>
      </c>
    </row>
    <row r="352" customFormat="false" ht="46.25" hidden="false" customHeight="false" outlineLevel="0" collapsed="false">
      <c r="A352" s="9" t="s">
        <v>16</v>
      </c>
      <c r="B352" s="9" t="s">
        <v>17</v>
      </c>
      <c r="C352" s="9" t="s">
        <v>285</v>
      </c>
      <c r="D352" s="9" t="s">
        <v>286</v>
      </c>
      <c r="E352" s="9" t="s">
        <v>386</v>
      </c>
      <c r="F352" s="11" t="s">
        <v>410</v>
      </c>
      <c r="G352" s="11" t="s">
        <v>1397</v>
      </c>
      <c r="H352" s="11" t="s">
        <v>1398</v>
      </c>
      <c r="I352" s="11"/>
      <c r="J352" s="11" t="s">
        <v>1394</v>
      </c>
      <c r="K352" s="9" t="s">
        <v>391</v>
      </c>
    </row>
    <row r="353" customFormat="false" ht="46.25" hidden="false" customHeight="false" outlineLevel="0" collapsed="false">
      <c r="A353" s="9" t="s">
        <v>16</v>
      </c>
      <c r="B353" s="9" t="s">
        <v>17</v>
      </c>
      <c r="C353" s="9" t="s">
        <v>285</v>
      </c>
      <c r="D353" s="9" t="s">
        <v>286</v>
      </c>
      <c r="E353" s="9" t="s">
        <v>386</v>
      </c>
      <c r="F353" s="11" t="s">
        <v>410</v>
      </c>
      <c r="G353" s="11" t="s">
        <v>1399</v>
      </c>
      <c r="H353" s="11" t="s">
        <v>1400</v>
      </c>
      <c r="I353" s="11"/>
      <c r="J353" s="11" t="s">
        <v>1394</v>
      </c>
      <c r="K353" s="9" t="s">
        <v>391</v>
      </c>
    </row>
    <row r="354" customFormat="false" ht="35.05" hidden="false" customHeight="false" outlineLevel="0" collapsed="false">
      <c r="A354" s="9" t="s">
        <v>16</v>
      </c>
      <c r="B354" s="9" t="s">
        <v>17</v>
      </c>
      <c r="C354" s="9" t="s">
        <v>285</v>
      </c>
      <c r="D354" s="9" t="s">
        <v>286</v>
      </c>
      <c r="E354" s="9" t="s">
        <v>386</v>
      </c>
      <c r="F354" s="11" t="s">
        <v>400</v>
      </c>
      <c r="G354" s="11" t="s">
        <v>1401</v>
      </c>
      <c r="H354" s="11" t="s">
        <v>1402</v>
      </c>
      <c r="I354" s="11"/>
      <c r="J354" s="11" t="s">
        <v>1403</v>
      </c>
      <c r="K354" s="9" t="s">
        <v>391</v>
      </c>
    </row>
    <row r="355" customFormat="false" ht="46.25" hidden="false" customHeight="false" outlineLevel="0" collapsed="false">
      <c r="A355" s="9" t="s">
        <v>16</v>
      </c>
      <c r="B355" s="9" t="s">
        <v>17</v>
      </c>
      <c r="C355" s="9" t="s">
        <v>285</v>
      </c>
      <c r="D355" s="9" t="s">
        <v>286</v>
      </c>
      <c r="E355" s="9" t="s">
        <v>386</v>
      </c>
      <c r="F355" s="11" t="s">
        <v>392</v>
      </c>
      <c r="G355" s="11" t="s">
        <v>1404</v>
      </c>
      <c r="H355" s="11" t="s">
        <v>1405</v>
      </c>
      <c r="I355" s="11"/>
      <c r="J355" s="11" t="s">
        <v>1406</v>
      </c>
      <c r="K355" s="9" t="s">
        <v>391</v>
      </c>
    </row>
    <row r="356" customFormat="false" ht="35.05" hidden="false" customHeight="false" outlineLevel="0" collapsed="false">
      <c r="A356" s="9" t="s">
        <v>16</v>
      </c>
      <c r="B356" s="9" t="s">
        <v>17</v>
      </c>
      <c r="C356" s="9" t="s">
        <v>285</v>
      </c>
      <c r="D356" s="9" t="s">
        <v>286</v>
      </c>
      <c r="E356" s="9" t="s">
        <v>386</v>
      </c>
      <c r="F356" s="11" t="s">
        <v>396</v>
      </c>
      <c r="G356" s="11" t="s">
        <v>1407</v>
      </c>
      <c r="H356" s="11" t="s">
        <v>1408</v>
      </c>
      <c r="I356" s="11"/>
      <c r="J356" s="11" t="s">
        <v>1409</v>
      </c>
      <c r="K356" s="9" t="s">
        <v>391</v>
      </c>
    </row>
    <row r="357" customFormat="false" ht="35.05" hidden="false" customHeight="false" outlineLevel="0" collapsed="false">
      <c r="A357" s="9" t="s">
        <v>16</v>
      </c>
      <c r="B357" s="9" t="s">
        <v>17</v>
      </c>
      <c r="C357" s="9" t="s">
        <v>281</v>
      </c>
      <c r="D357" s="9" t="s">
        <v>282</v>
      </c>
      <c r="E357" s="9" t="s">
        <v>386</v>
      </c>
      <c r="F357" s="11" t="s">
        <v>387</v>
      </c>
      <c r="G357" s="11" t="s">
        <v>1410</v>
      </c>
      <c r="H357" s="11" t="s">
        <v>1411</v>
      </c>
      <c r="I357" s="11"/>
      <c r="J357" s="11" t="s">
        <v>1412</v>
      </c>
      <c r="K357" s="9" t="s">
        <v>391</v>
      </c>
    </row>
    <row r="358" customFormat="false" ht="46.25" hidden="false" customHeight="false" outlineLevel="0" collapsed="false">
      <c r="A358" s="9" t="s">
        <v>16</v>
      </c>
      <c r="B358" s="9" t="s">
        <v>17</v>
      </c>
      <c r="C358" s="9" t="s">
        <v>281</v>
      </c>
      <c r="D358" s="9" t="s">
        <v>282</v>
      </c>
      <c r="E358" s="9" t="s">
        <v>386</v>
      </c>
      <c r="F358" s="11" t="s">
        <v>387</v>
      </c>
      <c r="G358" s="11" t="s">
        <v>1413</v>
      </c>
      <c r="H358" s="11" t="s">
        <v>1414</v>
      </c>
      <c r="I358" s="11"/>
      <c r="J358" s="11" t="s">
        <v>1415</v>
      </c>
      <c r="K358" s="9" t="s">
        <v>391</v>
      </c>
    </row>
    <row r="359" customFormat="false" ht="46.25" hidden="false" customHeight="false" outlineLevel="0" collapsed="false">
      <c r="A359" s="9" t="s">
        <v>16</v>
      </c>
      <c r="B359" s="9" t="s">
        <v>17</v>
      </c>
      <c r="C359" s="9" t="s">
        <v>281</v>
      </c>
      <c r="D359" s="9" t="s">
        <v>282</v>
      </c>
      <c r="E359" s="9" t="s">
        <v>386</v>
      </c>
      <c r="F359" s="11" t="s">
        <v>387</v>
      </c>
      <c r="G359" s="11" t="s">
        <v>1416</v>
      </c>
      <c r="H359" s="11" t="s">
        <v>1417</v>
      </c>
      <c r="I359" s="11"/>
      <c r="J359" s="11" t="s">
        <v>1412</v>
      </c>
      <c r="K359" s="9" t="s">
        <v>391</v>
      </c>
    </row>
    <row r="360" customFormat="false" ht="46.25" hidden="false" customHeight="false" outlineLevel="0" collapsed="false">
      <c r="A360" s="9" t="s">
        <v>16</v>
      </c>
      <c r="B360" s="9" t="s">
        <v>17</v>
      </c>
      <c r="C360" s="9" t="s">
        <v>281</v>
      </c>
      <c r="D360" s="9" t="s">
        <v>282</v>
      </c>
      <c r="E360" s="9" t="s">
        <v>386</v>
      </c>
      <c r="F360" s="11" t="s">
        <v>410</v>
      </c>
      <c r="G360" s="11" t="s">
        <v>1418</v>
      </c>
      <c r="H360" s="11" t="s">
        <v>1419</v>
      </c>
      <c r="I360" s="11"/>
      <c r="J360" s="11" t="s">
        <v>1420</v>
      </c>
      <c r="K360" s="9" t="s">
        <v>391</v>
      </c>
    </row>
    <row r="361" customFormat="false" ht="35.05" hidden="false" customHeight="false" outlineLevel="0" collapsed="false">
      <c r="A361" s="9" t="s">
        <v>16</v>
      </c>
      <c r="B361" s="9" t="s">
        <v>17</v>
      </c>
      <c r="C361" s="9" t="s">
        <v>281</v>
      </c>
      <c r="D361" s="9" t="s">
        <v>282</v>
      </c>
      <c r="E361" s="9" t="s">
        <v>386</v>
      </c>
      <c r="F361" s="11" t="s">
        <v>410</v>
      </c>
      <c r="G361" s="11" t="s">
        <v>1421</v>
      </c>
      <c r="H361" s="11" t="s">
        <v>1422</v>
      </c>
      <c r="I361" s="11"/>
      <c r="J361" s="11" t="s">
        <v>1423</v>
      </c>
      <c r="K361" s="9" t="s">
        <v>391</v>
      </c>
    </row>
    <row r="362" customFormat="false" ht="46.25" hidden="false" customHeight="false" outlineLevel="0" collapsed="false">
      <c r="A362" s="9" t="s">
        <v>16</v>
      </c>
      <c r="B362" s="9" t="s">
        <v>17</v>
      </c>
      <c r="C362" s="9" t="s">
        <v>281</v>
      </c>
      <c r="D362" s="9" t="s">
        <v>282</v>
      </c>
      <c r="E362" s="9" t="s">
        <v>386</v>
      </c>
      <c r="F362" s="11" t="s">
        <v>400</v>
      </c>
      <c r="G362" s="11" t="s">
        <v>1424</v>
      </c>
      <c r="H362" s="11" t="s">
        <v>1425</v>
      </c>
      <c r="I362" s="11"/>
      <c r="J362" s="11" t="s">
        <v>1426</v>
      </c>
      <c r="K362" s="9" t="s">
        <v>391</v>
      </c>
    </row>
    <row r="363" customFormat="false" ht="68.65" hidden="false" customHeight="false" outlineLevel="0" collapsed="false">
      <c r="A363" s="9" t="s">
        <v>16</v>
      </c>
      <c r="B363" s="9" t="s">
        <v>17</v>
      </c>
      <c r="C363" s="9" t="s">
        <v>91</v>
      </c>
      <c r="D363" s="9" t="s">
        <v>92</v>
      </c>
      <c r="E363" s="9" t="s">
        <v>386</v>
      </c>
      <c r="F363" s="11" t="s">
        <v>974</v>
      </c>
      <c r="G363" s="11" t="s">
        <v>1427</v>
      </c>
      <c r="H363" s="11" t="s">
        <v>1428</v>
      </c>
      <c r="I363" s="11"/>
      <c r="J363" s="11" t="s">
        <v>1429</v>
      </c>
      <c r="K363" s="9" t="s">
        <v>391</v>
      </c>
    </row>
    <row r="364" customFormat="false" ht="68.65" hidden="false" customHeight="false" outlineLevel="0" collapsed="false">
      <c r="A364" s="9" t="s">
        <v>16</v>
      </c>
      <c r="B364" s="9" t="s">
        <v>17</v>
      </c>
      <c r="C364" s="9" t="s">
        <v>91</v>
      </c>
      <c r="D364" s="9" t="s">
        <v>92</v>
      </c>
      <c r="E364" s="9" t="s">
        <v>386</v>
      </c>
      <c r="F364" s="11" t="s">
        <v>392</v>
      </c>
      <c r="G364" s="11" t="s">
        <v>1430</v>
      </c>
      <c r="H364" s="11" t="s">
        <v>1431</v>
      </c>
      <c r="I364" s="11"/>
      <c r="J364" s="11" t="s">
        <v>1432</v>
      </c>
      <c r="K364" s="9" t="s">
        <v>391</v>
      </c>
    </row>
    <row r="365" customFormat="false" ht="57.45" hidden="false" customHeight="false" outlineLevel="0" collapsed="false">
      <c r="A365" s="9" t="s">
        <v>16</v>
      </c>
      <c r="B365" s="9" t="s">
        <v>17</v>
      </c>
      <c r="C365" s="9" t="s">
        <v>91</v>
      </c>
      <c r="D365" s="9" t="s">
        <v>92</v>
      </c>
      <c r="E365" s="9" t="s">
        <v>386</v>
      </c>
      <c r="F365" s="11" t="s">
        <v>392</v>
      </c>
      <c r="G365" s="11" t="s">
        <v>1433</v>
      </c>
      <c r="H365" s="11" t="s">
        <v>1434</v>
      </c>
      <c r="I365" s="11"/>
      <c r="J365" s="11" t="s">
        <v>1435</v>
      </c>
      <c r="K365" s="9" t="s">
        <v>391</v>
      </c>
    </row>
    <row r="366" customFormat="false" ht="57.45" hidden="false" customHeight="false" outlineLevel="0" collapsed="false">
      <c r="A366" s="9" t="s">
        <v>16</v>
      </c>
      <c r="B366" s="9" t="s">
        <v>17</v>
      </c>
      <c r="C366" s="9" t="s">
        <v>91</v>
      </c>
      <c r="D366" s="9" t="s">
        <v>92</v>
      </c>
      <c r="E366" s="9" t="s">
        <v>386</v>
      </c>
      <c r="F366" s="11" t="s">
        <v>392</v>
      </c>
      <c r="G366" s="11" t="s">
        <v>1436</v>
      </c>
      <c r="H366" s="11" t="s">
        <v>1437</v>
      </c>
      <c r="I366" s="11"/>
      <c r="J366" s="11" t="s">
        <v>1438</v>
      </c>
      <c r="K366" s="9" t="s">
        <v>391</v>
      </c>
    </row>
    <row r="367" customFormat="false" ht="57.45" hidden="false" customHeight="false" outlineLevel="0" collapsed="false">
      <c r="A367" s="9" t="s">
        <v>16</v>
      </c>
      <c r="B367" s="9" t="s">
        <v>17</v>
      </c>
      <c r="C367" s="9" t="s">
        <v>91</v>
      </c>
      <c r="D367" s="9" t="s">
        <v>92</v>
      </c>
      <c r="E367" s="9" t="s">
        <v>386</v>
      </c>
      <c r="F367" s="11" t="s">
        <v>396</v>
      </c>
      <c r="G367" s="11" t="s">
        <v>1439</v>
      </c>
      <c r="H367" s="11" t="s">
        <v>1440</v>
      </c>
      <c r="I367" s="11"/>
      <c r="J367" s="11" t="s">
        <v>1438</v>
      </c>
      <c r="K367" s="9" t="s">
        <v>391</v>
      </c>
    </row>
    <row r="368" customFormat="false" ht="68.65" hidden="false" customHeight="false" outlineLevel="0" collapsed="false">
      <c r="A368" s="9" t="s">
        <v>16</v>
      </c>
      <c r="B368" s="9" t="s">
        <v>17</v>
      </c>
      <c r="C368" s="9" t="s">
        <v>91</v>
      </c>
      <c r="D368" s="9" t="s">
        <v>92</v>
      </c>
      <c r="E368" s="9" t="s">
        <v>386</v>
      </c>
      <c r="F368" s="11" t="s">
        <v>387</v>
      </c>
      <c r="G368" s="11" t="s">
        <v>1441</v>
      </c>
      <c r="H368" s="11" t="s">
        <v>1442</v>
      </c>
      <c r="I368" s="11"/>
      <c r="J368" s="11" t="s">
        <v>1443</v>
      </c>
      <c r="K368" s="9" t="s">
        <v>391</v>
      </c>
    </row>
    <row r="369" customFormat="false" ht="68.65" hidden="false" customHeight="false" outlineLevel="0" collapsed="false">
      <c r="A369" s="9" t="s">
        <v>16</v>
      </c>
      <c r="B369" s="9" t="s">
        <v>17</v>
      </c>
      <c r="C369" s="9" t="s">
        <v>91</v>
      </c>
      <c r="D369" s="9" t="s">
        <v>92</v>
      </c>
      <c r="E369" s="9" t="s">
        <v>386</v>
      </c>
      <c r="F369" s="11" t="s">
        <v>387</v>
      </c>
      <c r="G369" s="11" t="s">
        <v>1444</v>
      </c>
      <c r="H369" s="11" t="s">
        <v>1445</v>
      </c>
      <c r="I369" s="11"/>
      <c r="J369" s="11" t="s">
        <v>1443</v>
      </c>
      <c r="K369" s="9" t="s">
        <v>391</v>
      </c>
    </row>
    <row r="370" customFormat="false" ht="68.65" hidden="false" customHeight="false" outlineLevel="0" collapsed="false">
      <c r="A370" s="9" t="s">
        <v>16</v>
      </c>
      <c r="B370" s="9" t="s">
        <v>17</v>
      </c>
      <c r="C370" s="9" t="s">
        <v>91</v>
      </c>
      <c r="D370" s="9" t="s">
        <v>92</v>
      </c>
      <c r="E370" s="9" t="s">
        <v>386</v>
      </c>
      <c r="F370" s="11" t="s">
        <v>387</v>
      </c>
      <c r="G370" s="11" t="s">
        <v>1446</v>
      </c>
      <c r="H370" s="11" t="s">
        <v>1447</v>
      </c>
      <c r="I370" s="11"/>
      <c r="J370" s="11" t="s">
        <v>1443</v>
      </c>
      <c r="K370" s="9" t="s">
        <v>391</v>
      </c>
    </row>
    <row r="371" customFormat="false" ht="57.45" hidden="false" customHeight="false" outlineLevel="0" collapsed="false">
      <c r="A371" s="9" t="s">
        <v>16</v>
      </c>
      <c r="B371" s="9" t="s">
        <v>17</v>
      </c>
      <c r="C371" s="9" t="s">
        <v>91</v>
      </c>
      <c r="D371" s="9" t="s">
        <v>92</v>
      </c>
      <c r="E371" s="9" t="s">
        <v>386</v>
      </c>
      <c r="F371" s="11" t="s">
        <v>410</v>
      </c>
      <c r="G371" s="11" t="s">
        <v>1448</v>
      </c>
      <c r="H371" s="11" t="s">
        <v>1449</v>
      </c>
      <c r="I371" s="11"/>
      <c r="J371" s="11" t="s">
        <v>1450</v>
      </c>
      <c r="K371" s="9" t="s">
        <v>391</v>
      </c>
    </row>
    <row r="372" customFormat="false" ht="57.45" hidden="false" customHeight="false" outlineLevel="0" collapsed="false">
      <c r="A372" s="9" t="s">
        <v>16</v>
      </c>
      <c r="B372" s="9" t="s">
        <v>17</v>
      </c>
      <c r="C372" s="9" t="s">
        <v>91</v>
      </c>
      <c r="D372" s="9" t="s">
        <v>92</v>
      </c>
      <c r="E372" s="9" t="s">
        <v>386</v>
      </c>
      <c r="F372" s="11" t="s">
        <v>410</v>
      </c>
      <c r="G372" s="11" t="s">
        <v>1451</v>
      </c>
      <c r="H372" s="11" t="s">
        <v>1452</v>
      </c>
      <c r="I372" s="11"/>
      <c r="J372" s="11" t="s">
        <v>1453</v>
      </c>
      <c r="K372" s="9" t="s">
        <v>391</v>
      </c>
    </row>
    <row r="373" customFormat="false" ht="57.45" hidden="false" customHeight="false" outlineLevel="0" collapsed="false">
      <c r="A373" s="9" t="s">
        <v>16</v>
      </c>
      <c r="B373" s="9" t="s">
        <v>17</v>
      </c>
      <c r="C373" s="9" t="s">
        <v>91</v>
      </c>
      <c r="D373" s="9" t="s">
        <v>92</v>
      </c>
      <c r="E373" s="9" t="s">
        <v>386</v>
      </c>
      <c r="F373" s="11" t="s">
        <v>400</v>
      </c>
      <c r="G373" s="11" t="s">
        <v>1454</v>
      </c>
      <c r="H373" s="11" t="s">
        <v>1455</v>
      </c>
      <c r="I373" s="11"/>
      <c r="J373" s="11" t="s">
        <v>1456</v>
      </c>
      <c r="K373" s="9" t="s">
        <v>391</v>
      </c>
    </row>
    <row r="374" customFormat="false" ht="79.85" hidden="false" customHeight="false" outlineLevel="0" collapsed="false">
      <c r="A374" s="9" t="s">
        <v>16</v>
      </c>
      <c r="B374" s="9" t="s">
        <v>17</v>
      </c>
      <c r="C374" s="9" t="s">
        <v>91</v>
      </c>
      <c r="D374" s="9" t="s">
        <v>92</v>
      </c>
      <c r="E374" s="9" t="s">
        <v>386</v>
      </c>
      <c r="F374" s="11" t="s">
        <v>392</v>
      </c>
      <c r="G374" s="11" t="s">
        <v>1457</v>
      </c>
      <c r="H374" s="11" t="s">
        <v>1458</v>
      </c>
      <c r="I374" s="11"/>
      <c r="J374" s="11" t="s">
        <v>1459</v>
      </c>
      <c r="K374" s="9" t="s">
        <v>391</v>
      </c>
    </row>
    <row r="375" customFormat="false" ht="79.85" hidden="false" customHeight="false" outlineLevel="0" collapsed="false">
      <c r="A375" s="9" t="s">
        <v>16</v>
      </c>
      <c r="B375" s="9" t="s">
        <v>17</v>
      </c>
      <c r="C375" s="9" t="s">
        <v>91</v>
      </c>
      <c r="D375" s="9" t="s">
        <v>92</v>
      </c>
      <c r="E375" s="9" t="s">
        <v>386</v>
      </c>
      <c r="F375" s="11" t="s">
        <v>392</v>
      </c>
      <c r="G375" s="11" t="s">
        <v>1460</v>
      </c>
      <c r="H375" s="11" t="s">
        <v>1461</v>
      </c>
      <c r="I375" s="11"/>
      <c r="J375" s="11" t="s">
        <v>1462</v>
      </c>
      <c r="K375" s="9" t="s">
        <v>391</v>
      </c>
    </row>
    <row r="376" customFormat="false" ht="57.45" hidden="false" customHeight="false" outlineLevel="0" collapsed="false">
      <c r="A376" s="9" t="s">
        <v>16</v>
      </c>
      <c r="B376" s="9" t="s">
        <v>17</v>
      </c>
      <c r="C376" s="9" t="s">
        <v>88</v>
      </c>
      <c r="D376" s="9" t="s">
        <v>89</v>
      </c>
      <c r="E376" s="9" t="s">
        <v>386</v>
      </c>
      <c r="F376" s="11" t="s">
        <v>722</v>
      </c>
      <c r="G376" s="11" t="s">
        <v>1463</v>
      </c>
      <c r="H376" s="11" t="s">
        <v>1464</v>
      </c>
      <c r="I376" s="11"/>
      <c r="J376" s="11" t="s">
        <v>1465</v>
      </c>
      <c r="K376" s="9" t="s">
        <v>391</v>
      </c>
    </row>
    <row r="377" customFormat="false" ht="57.45" hidden="false" customHeight="false" outlineLevel="0" collapsed="false">
      <c r="A377" s="9" t="s">
        <v>16</v>
      </c>
      <c r="B377" s="9" t="s">
        <v>17</v>
      </c>
      <c r="C377" s="9" t="s">
        <v>88</v>
      </c>
      <c r="D377" s="9" t="s">
        <v>89</v>
      </c>
      <c r="E377" s="9" t="s">
        <v>386</v>
      </c>
      <c r="F377" s="11" t="s">
        <v>400</v>
      </c>
      <c r="G377" s="11" t="s">
        <v>1466</v>
      </c>
      <c r="H377" s="11" t="s">
        <v>1467</v>
      </c>
      <c r="I377" s="11"/>
      <c r="J377" s="11" t="s">
        <v>1468</v>
      </c>
      <c r="K377" s="9" t="s">
        <v>391</v>
      </c>
    </row>
    <row r="378" customFormat="false" ht="57.45" hidden="false" customHeight="false" outlineLevel="0" collapsed="false">
      <c r="A378" s="9" t="s">
        <v>16</v>
      </c>
      <c r="B378" s="9" t="s">
        <v>17</v>
      </c>
      <c r="C378" s="9" t="s">
        <v>88</v>
      </c>
      <c r="D378" s="9" t="s">
        <v>89</v>
      </c>
      <c r="E378" s="9" t="s">
        <v>386</v>
      </c>
      <c r="F378" s="11" t="s">
        <v>392</v>
      </c>
      <c r="G378" s="11" t="s">
        <v>1469</v>
      </c>
      <c r="H378" s="11" t="s">
        <v>1470</v>
      </c>
      <c r="I378" s="11"/>
      <c r="J378" s="11" t="s">
        <v>1471</v>
      </c>
      <c r="K378" s="9" t="s">
        <v>391</v>
      </c>
    </row>
    <row r="379" customFormat="false" ht="57.45" hidden="false" customHeight="false" outlineLevel="0" collapsed="false">
      <c r="A379" s="9" t="s">
        <v>16</v>
      </c>
      <c r="B379" s="9" t="s">
        <v>17</v>
      </c>
      <c r="C379" s="9" t="s">
        <v>88</v>
      </c>
      <c r="D379" s="9" t="s">
        <v>89</v>
      </c>
      <c r="E379" s="9" t="s">
        <v>386</v>
      </c>
      <c r="F379" s="11" t="s">
        <v>392</v>
      </c>
      <c r="G379" s="11" t="s">
        <v>1472</v>
      </c>
      <c r="H379" s="11" t="s">
        <v>1473</v>
      </c>
      <c r="I379" s="11"/>
      <c r="J379" s="11" t="s">
        <v>1474</v>
      </c>
      <c r="K379" s="9" t="s">
        <v>391</v>
      </c>
    </row>
    <row r="380" customFormat="false" ht="57.45" hidden="false" customHeight="false" outlineLevel="0" collapsed="false">
      <c r="A380" s="9" t="s">
        <v>16</v>
      </c>
      <c r="B380" s="9" t="s">
        <v>17</v>
      </c>
      <c r="C380" s="9" t="s">
        <v>88</v>
      </c>
      <c r="D380" s="9" t="s">
        <v>89</v>
      </c>
      <c r="E380" s="9" t="s">
        <v>386</v>
      </c>
      <c r="F380" s="11" t="s">
        <v>767</v>
      </c>
      <c r="G380" s="11" t="s">
        <v>1475</v>
      </c>
      <c r="H380" s="11" t="s">
        <v>1476</v>
      </c>
      <c r="I380" s="11"/>
      <c r="J380" s="11" t="s">
        <v>1477</v>
      </c>
      <c r="K380" s="9" t="s">
        <v>391</v>
      </c>
    </row>
    <row r="381" customFormat="false" ht="57.45" hidden="false" customHeight="false" outlineLevel="0" collapsed="false">
      <c r="A381" s="9" t="s">
        <v>16</v>
      </c>
      <c r="B381" s="9" t="s">
        <v>17</v>
      </c>
      <c r="C381" s="9" t="s">
        <v>88</v>
      </c>
      <c r="D381" s="9" t="s">
        <v>89</v>
      </c>
      <c r="E381" s="9" t="s">
        <v>386</v>
      </c>
      <c r="F381" s="11" t="s">
        <v>722</v>
      </c>
      <c r="G381" s="11" t="s">
        <v>1478</v>
      </c>
      <c r="H381" s="11" t="s">
        <v>1479</v>
      </c>
      <c r="I381" s="11"/>
      <c r="J381" s="11" t="s">
        <v>1480</v>
      </c>
      <c r="K381" s="9" t="s">
        <v>391</v>
      </c>
    </row>
    <row r="382" customFormat="false" ht="57.45" hidden="false" customHeight="false" outlineLevel="0" collapsed="false">
      <c r="A382" s="9" t="s">
        <v>16</v>
      </c>
      <c r="B382" s="9" t="s">
        <v>17</v>
      </c>
      <c r="C382" s="9" t="s">
        <v>88</v>
      </c>
      <c r="D382" s="9" t="s">
        <v>89</v>
      </c>
      <c r="E382" s="9" t="s">
        <v>386</v>
      </c>
      <c r="F382" s="11" t="s">
        <v>410</v>
      </c>
      <c r="G382" s="11" t="s">
        <v>1481</v>
      </c>
      <c r="H382" s="11" t="s">
        <v>1482</v>
      </c>
      <c r="I382" s="11"/>
      <c r="J382" s="11" t="s">
        <v>1465</v>
      </c>
      <c r="K382" s="9" t="s">
        <v>391</v>
      </c>
    </row>
    <row r="383" customFormat="false" ht="46.25" hidden="false" customHeight="false" outlineLevel="0" collapsed="false">
      <c r="A383" s="9" t="s">
        <v>16</v>
      </c>
      <c r="B383" s="9" t="s">
        <v>17</v>
      </c>
      <c r="C383" s="9" t="s">
        <v>88</v>
      </c>
      <c r="D383" s="9" t="s">
        <v>89</v>
      </c>
      <c r="E383" s="9" t="s">
        <v>386</v>
      </c>
      <c r="F383" s="11" t="s">
        <v>387</v>
      </c>
      <c r="G383" s="11" t="s">
        <v>1483</v>
      </c>
      <c r="H383" s="11" t="s">
        <v>1484</v>
      </c>
      <c r="I383" s="11"/>
      <c r="J383" s="11" t="s">
        <v>1485</v>
      </c>
      <c r="K383" s="9" t="s">
        <v>391</v>
      </c>
    </row>
    <row r="384" customFormat="false" ht="57.45" hidden="false" customHeight="false" outlineLevel="0" collapsed="false">
      <c r="A384" s="9" t="s">
        <v>16</v>
      </c>
      <c r="B384" s="9" t="s">
        <v>17</v>
      </c>
      <c r="C384" s="9" t="s">
        <v>88</v>
      </c>
      <c r="D384" s="9" t="s">
        <v>89</v>
      </c>
      <c r="E384" s="9" t="s">
        <v>386</v>
      </c>
      <c r="F384" s="11" t="s">
        <v>387</v>
      </c>
      <c r="G384" s="11" t="s">
        <v>1486</v>
      </c>
      <c r="H384" s="11" t="s">
        <v>1487</v>
      </c>
      <c r="I384" s="11"/>
      <c r="J384" s="11" t="s">
        <v>1488</v>
      </c>
      <c r="K384" s="9" t="s">
        <v>391</v>
      </c>
    </row>
    <row r="385" customFormat="false" ht="68.65" hidden="false" customHeight="false" outlineLevel="0" collapsed="false">
      <c r="A385" s="9" t="s">
        <v>16</v>
      </c>
      <c r="B385" s="9" t="s">
        <v>17</v>
      </c>
      <c r="C385" s="9" t="s">
        <v>88</v>
      </c>
      <c r="D385" s="9" t="s">
        <v>89</v>
      </c>
      <c r="E385" s="9" t="s">
        <v>386</v>
      </c>
      <c r="F385" s="11" t="s">
        <v>410</v>
      </c>
      <c r="G385" s="11" t="s">
        <v>1489</v>
      </c>
      <c r="H385" s="11" t="s">
        <v>1490</v>
      </c>
      <c r="I385" s="11"/>
      <c r="J385" s="11" t="s">
        <v>1491</v>
      </c>
      <c r="K385" s="9" t="s">
        <v>391</v>
      </c>
    </row>
    <row r="386" customFormat="false" ht="57.45" hidden="false" customHeight="false" outlineLevel="0" collapsed="false">
      <c r="A386" s="9" t="s">
        <v>16</v>
      </c>
      <c r="B386" s="9" t="s">
        <v>17</v>
      </c>
      <c r="C386" s="9" t="s">
        <v>88</v>
      </c>
      <c r="D386" s="9" t="s">
        <v>89</v>
      </c>
      <c r="E386" s="9" t="s">
        <v>386</v>
      </c>
      <c r="F386" s="11" t="s">
        <v>950</v>
      </c>
      <c r="G386" s="11" t="s">
        <v>1492</v>
      </c>
      <c r="H386" s="11" t="s">
        <v>1493</v>
      </c>
      <c r="I386" s="11"/>
      <c r="J386" s="11" t="s">
        <v>1494</v>
      </c>
      <c r="K386" s="9" t="s">
        <v>391</v>
      </c>
    </row>
    <row r="387" customFormat="false" ht="57.45" hidden="false" customHeight="false" outlineLevel="0" collapsed="false">
      <c r="A387" s="9" t="s">
        <v>16</v>
      </c>
      <c r="B387" s="9" t="s">
        <v>17</v>
      </c>
      <c r="C387" s="9" t="s">
        <v>88</v>
      </c>
      <c r="D387" s="9" t="s">
        <v>89</v>
      </c>
      <c r="E387" s="9" t="s">
        <v>386</v>
      </c>
      <c r="F387" s="11" t="s">
        <v>410</v>
      </c>
      <c r="G387" s="11" t="s">
        <v>1495</v>
      </c>
      <c r="H387" s="11" t="s">
        <v>1496</v>
      </c>
      <c r="I387" s="11"/>
      <c r="J387" s="11" t="s">
        <v>1480</v>
      </c>
      <c r="K387" s="9" t="s">
        <v>391</v>
      </c>
    </row>
    <row r="388" customFormat="false" ht="68.65" hidden="false" customHeight="false" outlineLevel="0" collapsed="false">
      <c r="A388" s="9" t="s">
        <v>16</v>
      </c>
      <c r="B388" s="9" t="s">
        <v>17</v>
      </c>
      <c r="C388" s="9" t="s">
        <v>88</v>
      </c>
      <c r="D388" s="9" t="s">
        <v>89</v>
      </c>
      <c r="E388" s="9" t="s">
        <v>386</v>
      </c>
      <c r="F388" s="11" t="s">
        <v>410</v>
      </c>
      <c r="G388" s="11" t="s">
        <v>1497</v>
      </c>
      <c r="H388" s="11" t="s">
        <v>1498</v>
      </c>
      <c r="I388" s="11"/>
      <c r="J388" s="11" t="s">
        <v>1499</v>
      </c>
      <c r="K388" s="9" t="s">
        <v>391</v>
      </c>
    </row>
    <row r="389" customFormat="false" ht="68.65" hidden="false" customHeight="false" outlineLevel="0" collapsed="false">
      <c r="A389" s="9" t="s">
        <v>16</v>
      </c>
      <c r="B389" s="9" t="s">
        <v>17</v>
      </c>
      <c r="C389" s="9" t="s">
        <v>94</v>
      </c>
      <c r="D389" s="9" t="s">
        <v>95</v>
      </c>
      <c r="E389" s="9" t="s">
        <v>386</v>
      </c>
      <c r="F389" s="11" t="s">
        <v>722</v>
      </c>
      <c r="G389" s="11" t="s">
        <v>1500</v>
      </c>
      <c r="H389" s="11" t="s">
        <v>1501</v>
      </c>
      <c r="I389" s="11"/>
      <c r="J389" s="11" t="s">
        <v>1502</v>
      </c>
      <c r="K389" s="9" t="s">
        <v>391</v>
      </c>
    </row>
    <row r="390" customFormat="false" ht="79.85" hidden="false" customHeight="false" outlineLevel="0" collapsed="false">
      <c r="A390" s="9" t="s">
        <v>16</v>
      </c>
      <c r="B390" s="9" t="s">
        <v>17</v>
      </c>
      <c r="C390" s="9" t="s">
        <v>94</v>
      </c>
      <c r="D390" s="9" t="s">
        <v>95</v>
      </c>
      <c r="E390" s="9" t="s">
        <v>386</v>
      </c>
      <c r="F390" s="11" t="s">
        <v>392</v>
      </c>
      <c r="G390" s="11" t="s">
        <v>1503</v>
      </c>
      <c r="H390" s="11" t="s">
        <v>1504</v>
      </c>
      <c r="I390" s="11"/>
      <c r="J390" s="11" t="s">
        <v>1505</v>
      </c>
      <c r="K390" s="9" t="s">
        <v>391</v>
      </c>
    </row>
    <row r="391" customFormat="false" ht="57.45" hidden="false" customHeight="false" outlineLevel="0" collapsed="false">
      <c r="A391" s="9" t="s">
        <v>16</v>
      </c>
      <c r="B391" s="9" t="s">
        <v>17</v>
      </c>
      <c r="C391" s="9" t="s">
        <v>94</v>
      </c>
      <c r="D391" s="9" t="s">
        <v>95</v>
      </c>
      <c r="E391" s="9" t="s">
        <v>386</v>
      </c>
      <c r="F391" s="11" t="s">
        <v>396</v>
      </c>
      <c r="G391" s="11" t="s">
        <v>1506</v>
      </c>
      <c r="H391" s="11" t="s">
        <v>1507</v>
      </c>
      <c r="I391" s="11"/>
      <c r="J391" s="11" t="s">
        <v>1508</v>
      </c>
      <c r="K391" s="9" t="s">
        <v>391</v>
      </c>
    </row>
    <row r="392" customFormat="false" ht="68.65" hidden="false" customHeight="false" outlineLevel="0" collapsed="false">
      <c r="A392" s="9" t="s">
        <v>16</v>
      </c>
      <c r="B392" s="9" t="s">
        <v>17</v>
      </c>
      <c r="C392" s="9" t="s">
        <v>94</v>
      </c>
      <c r="D392" s="9" t="s">
        <v>95</v>
      </c>
      <c r="E392" s="9" t="s">
        <v>386</v>
      </c>
      <c r="F392" s="11" t="s">
        <v>1125</v>
      </c>
      <c r="G392" s="11" t="s">
        <v>1509</v>
      </c>
      <c r="H392" s="11" t="s">
        <v>1510</v>
      </c>
      <c r="I392" s="11"/>
      <c r="J392" s="11" t="s">
        <v>1511</v>
      </c>
      <c r="K392" s="9" t="s">
        <v>391</v>
      </c>
    </row>
    <row r="393" customFormat="false" ht="68.65" hidden="false" customHeight="false" outlineLevel="0" collapsed="false">
      <c r="A393" s="9" t="s">
        <v>16</v>
      </c>
      <c r="B393" s="9" t="s">
        <v>17</v>
      </c>
      <c r="C393" s="9" t="s">
        <v>94</v>
      </c>
      <c r="D393" s="9" t="s">
        <v>95</v>
      </c>
      <c r="E393" s="9" t="s">
        <v>386</v>
      </c>
      <c r="F393" s="11" t="s">
        <v>387</v>
      </c>
      <c r="G393" s="11" t="s">
        <v>1512</v>
      </c>
      <c r="H393" s="11" t="s">
        <v>1513</v>
      </c>
      <c r="I393" s="11"/>
      <c r="J393" s="11" t="s">
        <v>1514</v>
      </c>
      <c r="K393" s="9" t="s">
        <v>391</v>
      </c>
    </row>
    <row r="394" customFormat="false" ht="68.65" hidden="false" customHeight="false" outlineLevel="0" collapsed="false">
      <c r="A394" s="9" t="s">
        <v>16</v>
      </c>
      <c r="B394" s="9" t="s">
        <v>17</v>
      </c>
      <c r="C394" s="9" t="s">
        <v>94</v>
      </c>
      <c r="D394" s="9" t="s">
        <v>95</v>
      </c>
      <c r="E394" s="9" t="s">
        <v>386</v>
      </c>
      <c r="F394" s="11" t="s">
        <v>410</v>
      </c>
      <c r="G394" s="11" t="s">
        <v>1515</v>
      </c>
      <c r="H394" s="11" t="s">
        <v>1516</v>
      </c>
      <c r="I394" s="11"/>
      <c r="J394" s="11" t="s">
        <v>1517</v>
      </c>
      <c r="K394" s="9" t="s">
        <v>391</v>
      </c>
    </row>
    <row r="395" customFormat="false" ht="57.45" hidden="false" customHeight="false" outlineLevel="0" collapsed="false">
      <c r="A395" s="9" t="s">
        <v>16</v>
      </c>
      <c r="B395" s="9" t="s">
        <v>17</v>
      </c>
      <c r="C395" s="9" t="s">
        <v>94</v>
      </c>
      <c r="D395" s="9" t="s">
        <v>95</v>
      </c>
      <c r="E395" s="9" t="s">
        <v>386</v>
      </c>
      <c r="F395" s="11" t="s">
        <v>410</v>
      </c>
      <c r="G395" s="11" t="s">
        <v>1518</v>
      </c>
      <c r="H395" s="11" t="s">
        <v>1519</v>
      </c>
      <c r="I395" s="11"/>
      <c r="J395" s="11" t="s">
        <v>1520</v>
      </c>
      <c r="K395" s="9" t="s">
        <v>391</v>
      </c>
    </row>
    <row r="396" customFormat="false" ht="46.25" hidden="false" customHeight="false" outlineLevel="0" collapsed="false">
      <c r="A396" s="9" t="s">
        <v>16</v>
      </c>
      <c r="B396" s="9" t="s">
        <v>17</v>
      </c>
      <c r="C396" s="9" t="s">
        <v>94</v>
      </c>
      <c r="D396" s="9" t="s">
        <v>95</v>
      </c>
      <c r="E396" s="9" t="s">
        <v>386</v>
      </c>
      <c r="F396" s="11" t="s">
        <v>387</v>
      </c>
      <c r="G396" s="11" t="s">
        <v>1521</v>
      </c>
      <c r="H396" s="11" t="s">
        <v>1522</v>
      </c>
      <c r="I396" s="11"/>
      <c r="J396" s="11" t="s">
        <v>1523</v>
      </c>
      <c r="K396" s="9" t="s">
        <v>391</v>
      </c>
    </row>
    <row r="397" customFormat="false" ht="46.25" hidden="false" customHeight="false" outlineLevel="0" collapsed="false">
      <c r="A397" s="9" t="s">
        <v>16</v>
      </c>
      <c r="B397" s="9" t="s">
        <v>17</v>
      </c>
      <c r="C397" s="9" t="s">
        <v>94</v>
      </c>
      <c r="D397" s="9" t="s">
        <v>95</v>
      </c>
      <c r="E397" s="9" t="s">
        <v>386</v>
      </c>
      <c r="F397" s="11" t="s">
        <v>410</v>
      </c>
      <c r="G397" s="11" t="s">
        <v>1524</v>
      </c>
      <c r="H397" s="11" t="s">
        <v>1525</v>
      </c>
      <c r="I397" s="11"/>
      <c r="J397" s="11" t="s">
        <v>1523</v>
      </c>
      <c r="K397" s="9" t="s">
        <v>391</v>
      </c>
    </row>
    <row r="398" customFormat="false" ht="57.45" hidden="false" customHeight="false" outlineLevel="0" collapsed="false">
      <c r="A398" s="9" t="s">
        <v>16</v>
      </c>
      <c r="B398" s="9" t="s">
        <v>17</v>
      </c>
      <c r="C398" s="9" t="s">
        <v>94</v>
      </c>
      <c r="D398" s="9" t="s">
        <v>95</v>
      </c>
      <c r="E398" s="9" t="s">
        <v>386</v>
      </c>
      <c r="F398" s="11" t="s">
        <v>400</v>
      </c>
      <c r="G398" s="11" t="s">
        <v>1526</v>
      </c>
      <c r="H398" s="11" t="s">
        <v>1527</v>
      </c>
      <c r="I398" s="11"/>
      <c r="J398" s="11" t="s">
        <v>1528</v>
      </c>
      <c r="K398" s="9" t="s">
        <v>391</v>
      </c>
    </row>
    <row r="399" customFormat="false" ht="79.85" hidden="false" customHeight="false" outlineLevel="0" collapsed="false">
      <c r="A399" s="9" t="s">
        <v>16</v>
      </c>
      <c r="B399" s="9" t="s">
        <v>17</v>
      </c>
      <c r="C399" s="9" t="s">
        <v>94</v>
      </c>
      <c r="D399" s="9" t="s">
        <v>95</v>
      </c>
      <c r="E399" s="9" t="s">
        <v>386</v>
      </c>
      <c r="F399" s="11" t="s">
        <v>666</v>
      </c>
      <c r="G399" s="11" t="s">
        <v>1529</v>
      </c>
      <c r="H399" s="11" t="s">
        <v>1530</v>
      </c>
      <c r="I399" s="11"/>
      <c r="J399" s="11" t="s">
        <v>1531</v>
      </c>
      <c r="K399" s="9" t="s">
        <v>391</v>
      </c>
    </row>
    <row r="400" customFormat="false" ht="46.25" hidden="false" customHeight="false" outlineLevel="0" collapsed="false">
      <c r="A400" s="9" t="s">
        <v>16</v>
      </c>
      <c r="B400" s="9" t="s">
        <v>17</v>
      </c>
      <c r="C400" s="9" t="s">
        <v>85</v>
      </c>
      <c r="D400" s="9" t="s">
        <v>86</v>
      </c>
      <c r="E400" s="9" t="s">
        <v>386</v>
      </c>
      <c r="F400" s="11" t="s">
        <v>1125</v>
      </c>
      <c r="G400" s="11" t="s">
        <v>1532</v>
      </c>
      <c r="H400" s="11" t="s">
        <v>1533</v>
      </c>
      <c r="I400" s="11"/>
      <c r="J400" s="11" t="s">
        <v>1534</v>
      </c>
      <c r="K400" s="9" t="s">
        <v>391</v>
      </c>
    </row>
    <row r="401" customFormat="false" ht="57.45" hidden="false" customHeight="false" outlineLevel="0" collapsed="false">
      <c r="A401" s="9" t="s">
        <v>16</v>
      </c>
      <c r="B401" s="9" t="s">
        <v>17</v>
      </c>
      <c r="C401" s="9" t="s">
        <v>85</v>
      </c>
      <c r="D401" s="9" t="s">
        <v>86</v>
      </c>
      <c r="E401" s="9" t="s">
        <v>386</v>
      </c>
      <c r="F401" s="11" t="s">
        <v>392</v>
      </c>
      <c r="G401" s="11" t="s">
        <v>1535</v>
      </c>
      <c r="H401" s="11" t="s">
        <v>1536</v>
      </c>
      <c r="I401" s="11"/>
      <c r="J401" s="11" t="s">
        <v>1537</v>
      </c>
      <c r="K401" s="9" t="s">
        <v>391</v>
      </c>
    </row>
    <row r="402" customFormat="false" ht="57.45" hidden="false" customHeight="false" outlineLevel="0" collapsed="false">
      <c r="A402" s="9" t="s">
        <v>16</v>
      </c>
      <c r="B402" s="9" t="s">
        <v>17</v>
      </c>
      <c r="C402" s="9" t="s">
        <v>85</v>
      </c>
      <c r="D402" s="9" t="s">
        <v>86</v>
      </c>
      <c r="E402" s="9" t="s">
        <v>386</v>
      </c>
      <c r="F402" s="11" t="s">
        <v>410</v>
      </c>
      <c r="G402" s="11" t="s">
        <v>1538</v>
      </c>
      <c r="H402" s="11" t="s">
        <v>1539</v>
      </c>
      <c r="I402" s="11"/>
      <c r="J402" s="11" t="s">
        <v>1540</v>
      </c>
      <c r="K402" s="9" t="s">
        <v>391</v>
      </c>
    </row>
    <row r="403" customFormat="false" ht="57.45" hidden="false" customHeight="false" outlineLevel="0" collapsed="false">
      <c r="A403" s="9" t="s">
        <v>16</v>
      </c>
      <c r="B403" s="9" t="s">
        <v>17</v>
      </c>
      <c r="C403" s="9" t="s">
        <v>85</v>
      </c>
      <c r="D403" s="9" t="s">
        <v>86</v>
      </c>
      <c r="E403" s="9" t="s">
        <v>386</v>
      </c>
      <c r="F403" s="11" t="s">
        <v>400</v>
      </c>
      <c r="G403" s="11" t="s">
        <v>1541</v>
      </c>
      <c r="H403" s="11" t="s">
        <v>1542</v>
      </c>
      <c r="I403" s="11"/>
      <c r="J403" s="11" t="s">
        <v>1543</v>
      </c>
      <c r="K403" s="9" t="s">
        <v>391</v>
      </c>
    </row>
    <row r="404" customFormat="false" ht="57.45" hidden="false" customHeight="false" outlineLevel="0" collapsed="false">
      <c r="A404" s="9" t="s">
        <v>16</v>
      </c>
      <c r="B404" s="9" t="s">
        <v>17</v>
      </c>
      <c r="C404" s="9" t="s">
        <v>85</v>
      </c>
      <c r="D404" s="9" t="s">
        <v>86</v>
      </c>
      <c r="E404" s="9" t="s">
        <v>386</v>
      </c>
      <c r="F404" s="11" t="s">
        <v>974</v>
      </c>
      <c r="G404" s="11" t="s">
        <v>1544</v>
      </c>
      <c r="H404" s="11" t="s">
        <v>1545</v>
      </c>
      <c r="I404" s="11"/>
      <c r="J404" s="11" t="s">
        <v>1546</v>
      </c>
      <c r="K404" s="9" t="s">
        <v>391</v>
      </c>
    </row>
    <row r="405" customFormat="false" ht="57.45" hidden="false" customHeight="false" outlineLevel="0" collapsed="false">
      <c r="A405" s="9" t="s">
        <v>16</v>
      </c>
      <c r="B405" s="9" t="s">
        <v>17</v>
      </c>
      <c r="C405" s="9" t="s">
        <v>85</v>
      </c>
      <c r="D405" s="9" t="s">
        <v>86</v>
      </c>
      <c r="E405" s="9" t="s">
        <v>386</v>
      </c>
      <c r="F405" s="11" t="s">
        <v>1171</v>
      </c>
      <c r="G405" s="11" t="s">
        <v>1547</v>
      </c>
      <c r="H405" s="11" t="s">
        <v>1548</v>
      </c>
      <c r="I405" s="11"/>
      <c r="J405" s="11" t="s">
        <v>1546</v>
      </c>
      <c r="K405" s="9" t="s">
        <v>391</v>
      </c>
    </row>
    <row r="406" customFormat="false" ht="57.45" hidden="false" customHeight="false" outlineLevel="0" collapsed="false">
      <c r="A406" s="9" t="s">
        <v>16</v>
      </c>
      <c r="B406" s="9" t="s">
        <v>17</v>
      </c>
      <c r="C406" s="9" t="s">
        <v>85</v>
      </c>
      <c r="D406" s="9" t="s">
        <v>86</v>
      </c>
      <c r="E406" s="9" t="s">
        <v>386</v>
      </c>
      <c r="F406" s="11" t="s">
        <v>722</v>
      </c>
      <c r="G406" s="11" t="s">
        <v>1549</v>
      </c>
      <c r="H406" s="11" t="s">
        <v>1550</v>
      </c>
      <c r="I406" s="11"/>
      <c r="J406" s="11" t="s">
        <v>1546</v>
      </c>
      <c r="K406" s="9" t="s">
        <v>391</v>
      </c>
    </row>
    <row r="407" customFormat="false" ht="35.05" hidden="false" customHeight="false" outlineLevel="0" collapsed="false">
      <c r="A407" s="9" t="s">
        <v>16</v>
      </c>
      <c r="B407" s="9" t="s">
        <v>17</v>
      </c>
      <c r="C407" s="9" t="s">
        <v>85</v>
      </c>
      <c r="D407" s="9" t="s">
        <v>86</v>
      </c>
      <c r="E407" s="9" t="s">
        <v>386</v>
      </c>
      <c r="F407" s="11" t="s">
        <v>722</v>
      </c>
      <c r="G407" s="11" t="s">
        <v>1551</v>
      </c>
      <c r="H407" s="11" t="s">
        <v>1552</v>
      </c>
      <c r="I407" s="11"/>
      <c r="J407" s="11" t="s">
        <v>1553</v>
      </c>
      <c r="K407" s="9" t="s">
        <v>391</v>
      </c>
    </row>
    <row r="408" customFormat="false" ht="57.45" hidden="false" customHeight="false" outlineLevel="0" collapsed="false">
      <c r="A408" s="9" t="s">
        <v>16</v>
      </c>
      <c r="B408" s="9" t="s">
        <v>17</v>
      </c>
      <c r="C408" s="9" t="s">
        <v>85</v>
      </c>
      <c r="D408" s="9" t="s">
        <v>86</v>
      </c>
      <c r="E408" s="9" t="s">
        <v>386</v>
      </c>
      <c r="F408" s="11" t="s">
        <v>950</v>
      </c>
      <c r="G408" s="11" t="s">
        <v>1554</v>
      </c>
      <c r="H408" s="11" t="s">
        <v>1555</v>
      </c>
      <c r="I408" s="11"/>
      <c r="J408" s="11" t="s">
        <v>1556</v>
      </c>
      <c r="K408" s="9" t="s">
        <v>391</v>
      </c>
    </row>
    <row r="409" customFormat="false" ht="46.25" hidden="false" customHeight="false" outlineLevel="0" collapsed="false">
      <c r="A409" s="9" t="s">
        <v>16</v>
      </c>
      <c r="B409" s="9" t="s">
        <v>17</v>
      </c>
      <c r="C409" s="9" t="s">
        <v>85</v>
      </c>
      <c r="D409" s="9" t="s">
        <v>86</v>
      </c>
      <c r="E409" s="9" t="s">
        <v>386</v>
      </c>
      <c r="F409" s="11" t="s">
        <v>387</v>
      </c>
      <c r="G409" s="11" t="s">
        <v>1557</v>
      </c>
      <c r="H409" s="11" t="s">
        <v>1558</v>
      </c>
      <c r="I409" s="11"/>
      <c r="J409" s="11" t="s">
        <v>1559</v>
      </c>
      <c r="K409" s="9" t="s">
        <v>391</v>
      </c>
    </row>
    <row r="410" customFormat="false" ht="57.45" hidden="false" customHeight="false" outlineLevel="0" collapsed="false">
      <c r="A410" s="9" t="s">
        <v>16</v>
      </c>
      <c r="B410" s="9" t="s">
        <v>17</v>
      </c>
      <c r="C410" s="9" t="s">
        <v>85</v>
      </c>
      <c r="D410" s="9" t="s">
        <v>86</v>
      </c>
      <c r="E410" s="9" t="s">
        <v>386</v>
      </c>
      <c r="F410" s="11" t="s">
        <v>387</v>
      </c>
      <c r="G410" s="11" t="s">
        <v>1560</v>
      </c>
      <c r="H410" s="11" t="s">
        <v>1561</v>
      </c>
      <c r="I410" s="11"/>
      <c r="J410" s="11" t="s">
        <v>1562</v>
      </c>
      <c r="K410" s="9" t="s">
        <v>391</v>
      </c>
    </row>
    <row r="411" customFormat="false" ht="57.45" hidden="false" customHeight="false" outlineLevel="0" collapsed="false">
      <c r="A411" s="9" t="s">
        <v>16</v>
      </c>
      <c r="B411" s="9" t="s">
        <v>17</v>
      </c>
      <c r="C411" s="9" t="s">
        <v>85</v>
      </c>
      <c r="D411" s="9" t="s">
        <v>86</v>
      </c>
      <c r="E411" s="9" t="s">
        <v>386</v>
      </c>
      <c r="F411" s="11" t="s">
        <v>666</v>
      </c>
      <c r="G411" s="11" t="s">
        <v>1563</v>
      </c>
      <c r="H411" s="11" t="s">
        <v>1564</v>
      </c>
      <c r="I411" s="11"/>
      <c r="J411" s="11" t="s">
        <v>1556</v>
      </c>
      <c r="K411" s="9" t="s">
        <v>391</v>
      </c>
    </row>
    <row r="412" customFormat="false" ht="57.45" hidden="false" customHeight="false" outlineLevel="0" collapsed="false">
      <c r="A412" s="9" t="s">
        <v>16</v>
      </c>
      <c r="B412" s="9" t="s">
        <v>17</v>
      </c>
      <c r="C412" s="9" t="s">
        <v>85</v>
      </c>
      <c r="D412" s="9" t="s">
        <v>86</v>
      </c>
      <c r="E412" s="9" t="s">
        <v>465</v>
      </c>
      <c r="F412" s="11" t="s">
        <v>466</v>
      </c>
      <c r="G412" s="11" t="s">
        <v>1565</v>
      </c>
      <c r="H412" s="11" t="s">
        <v>1566</v>
      </c>
      <c r="I412" s="11"/>
      <c r="J412" s="11" t="s">
        <v>1567</v>
      </c>
      <c r="K412" s="9" t="s">
        <v>391</v>
      </c>
    </row>
    <row r="413" customFormat="false" ht="46.25" hidden="false" customHeight="false" outlineLevel="0" collapsed="false">
      <c r="A413" s="9" t="s">
        <v>16</v>
      </c>
      <c r="B413" s="9" t="s">
        <v>17</v>
      </c>
      <c r="C413" s="9" t="s">
        <v>97</v>
      </c>
      <c r="D413" s="9" t="s">
        <v>98</v>
      </c>
      <c r="E413" s="9" t="s">
        <v>386</v>
      </c>
      <c r="F413" s="11" t="s">
        <v>722</v>
      </c>
      <c r="G413" s="11" t="s">
        <v>1568</v>
      </c>
      <c r="H413" s="11" t="s">
        <v>1569</v>
      </c>
      <c r="I413" s="11"/>
      <c r="J413" s="11" t="s">
        <v>1570</v>
      </c>
      <c r="K413" s="9" t="s">
        <v>391</v>
      </c>
    </row>
    <row r="414" customFormat="false" ht="46.25" hidden="false" customHeight="false" outlineLevel="0" collapsed="false">
      <c r="A414" s="9" t="s">
        <v>16</v>
      </c>
      <c r="B414" s="9" t="s">
        <v>17</v>
      </c>
      <c r="C414" s="9" t="s">
        <v>97</v>
      </c>
      <c r="D414" s="9" t="s">
        <v>98</v>
      </c>
      <c r="E414" s="9" t="s">
        <v>386</v>
      </c>
      <c r="F414" s="11" t="s">
        <v>392</v>
      </c>
      <c r="G414" s="11" t="s">
        <v>1571</v>
      </c>
      <c r="H414" s="11" t="s">
        <v>1572</v>
      </c>
      <c r="I414" s="11"/>
      <c r="J414" s="11" t="s">
        <v>1573</v>
      </c>
      <c r="K414" s="9" t="s">
        <v>391</v>
      </c>
    </row>
    <row r="415" customFormat="false" ht="46.25" hidden="false" customHeight="false" outlineLevel="0" collapsed="false">
      <c r="A415" s="9" t="s">
        <v>16</v>
      </c>
      <c r="B415" s="9" t="s">
        <v>17</v>
      </c>
      <c r="C415" s="9" t="s">
        <v>97</v>
      </c>
      <c r="D415" s="9" t="s">
        <v>98</v>
      </c>
      <c r="E415" s="9" t="s">
        <v>386</v>
      </c>
      <c r="F415" s="11" t="s">
        <v>387</v>
      </c>
      <c r="G415" s="11" t="s">
        <v>1574</v>
      </c>
      <c r="H415" s="11" t="s">
        <v>1575</v>
      </c>
      <c r="I415" s="11"/>
      <c r="J415" s="11" t="s">
        <v>1576</v>
      </c>
      <c r="K415" s="9" t="s">
        <v>391</v>
      </c>
    </row>
    <row r="416" customFormat="false" ht="46.25" hidden="false" customHeight="false" outlineLevel="0" collapsed="false">
      <c r="A416" s="9" t="s">
        <v>16</v>
      </c>
      <c r="B416" s="9" t="s">
        <v>17</v>
      </c>
      <c r="C416" s="9" t="s">
        <v>97</v>
      </c>
      <c r="D416" s="9" t="s">
        <v>98</v>
      </c>
      <c r="E416" s="9" t="s">
        <v>386</v>
      </c>
      <c r="F416" s="11" t="s">
        <v>387</v>
      </c>
      <c r="G416" s="11" t="s">
        <v>1577</v>
      </c>
      <c r="H416" s="11" t="s">
        <v>1578</v>
      </c>
      <c r="I416" s="11"/>
      <c r="J416" s="11" t="s">
        <v>1576</v>
      </c>
      <c r="K416" s="9" t="s">
        <v>391</v>
      </c>
    </row>
    <row r="417" customFormat="false" ht="46.25" hidden="false" customHeight="false" outlineLevel="0" collapsed="false">
      <c r="A417" s="9" t="s">
        <v>16</v>
      </c>
      <c r="B417" s="9" t="s">
        <v>17</v>
      </c>
      <c r="C417" s="9" t="s">
        <v>97</v>
      </c>
      <c r="D417" s="9" t="s">
        <v>98</v>
      </c>
      <c r="E417" s="9" t="s">
        <v>386</v>
      </c>
      <c r="F417" s="11" t="s">
        <v>410</v>
      </c>
      <c r="G417" s="11" t="s">
        <v>1579</v>
      </c>
      <c r="H417" s="11" t="s">
        <v>1580</v>
      </c>
      <c r="I417" s="11"/>
      <c r="J417" s="11" t="s">
        <v>1576</v>
      </c>
      <c r="K417" s="9" t="s">
        <v>391</v>
      </c>
    </row>
    <row r="418" customFormat="false" ht="46.25" hidden="false" customHeight="false" outlineLevel="0" collapsed="false">
      <c r="A418" s="9" t="s">
        <v>16</v>
      </c>
      <c r="B418" s="9" t="s">
        <v>17</v>
      </c>
      <c r="C418" s="9" t="s">
        <v>97</v>
      </c>
      <c r="D418" s="9" t="s">
        <v>98</v>
      </c>
      <c r="E418" s="9" t="s">
        <v>386</v>
      </c>
      <c r="F418" s="11" t="s">
        <v>410</v>
      </c>
      <c r="G418" s="11" t="s">
        <v>1581</v>
      </c>
      <c r="H418" s="11" t="s">
        <v>1582</v>
      </c>
      <c r="I418" s="11"/>
      <c r="J418" s="11" t="s">
        <v>1576</v>
      </c>
      <c r="K418" s="9" t="s">
        <v>391</v>
      </c>
    </row>
    <row r="419" customFormat="false" ht="46.25" hidden="false" customHeight="false" outlineLevel="0" collapsed="false">
      <c r="A419" s="9" t="s">
        <v>16</v>
      </c>
      <c r="B419" s="9" t="s">
        <v>17</v>
      </c>
      <c r="C419" s="9" t="s">
        <v>97</v>
      </c>
      <c r="D419" s="9" t="s">
        <v>98</v>
      </c>
      <c r="E419" s="9" t="s">
        <v>386</v>
      </c>
      <c r="F419" s="11" t="s">
        <v>387</v>
      </c>
      <c r="G419" s="11" t="s">
        <v>1583</v>
      </c>
      <c r="H419" s="11" t="s">
        <v>1584</v>
      </c>
      <c r="I419" s="11"/>
      <c r="J419" s="11" t="s">
        <v>1585</v>
      </c>
      <c r="K419" s="9" t="s">
        <v>391</v>
      </c>
    </row>
    <row r="420" customFormat="false" ht="57.45" hidden="false" customHeight="false" outlineLevel="0" collapsed="false">
      <c r="A420" s="9" t="s">
        <v>16</v>
      </c>
      <c r="B420" s="9" t="s">
        <v>17</v>
      </c>
      <c r="C420" s="9" t="s">
        <v>97</v>
      </c>
      <c r="D420" s="9" t="s">
        <v>98</v>
      </c>
      <c r="E420" s="9" t="s">
        <v>386</v>
      </c>
      <c r="F420" s="11" t="s">
        <v>400</v>
      </c>
      <c r="G420" s="11" t="s">
        <v>1586</v>
      </c>
      <c r="H420" s="11" t="s">
        <v>1587</v>
      </c>
      <c r="I420" s="11"/>
      <c r="J420" s="11" t="s">
        <v>1588</v>
      </c>
      <c r="K420" s="9" t="s">
        <v>391</v>
      </c>
    </row>
    <row r="421" customFormat="false" ht="57.45" hidden="false" customHeight="false" outlineLevel="0" collapsed="false">
      <c r="A421" s="9" t="s">
        <v>16</v>
      </c>
      <c r="B421" s="9" t="s">
        <v>17</v>
      </c>
      <c r="C421" s="9" t="s">
        <v>97</v>
      </c>
      <c r="D421" s="9" t="s">
        <v>98</v>
      </c>
      <c r="E421" s="9" t="s">
        <v>386</v>
      </c>
      <c r="F421" s="11" t="s">
        <v>387</v>
      </c>
      <c r="G421" s="11" t="s">
        <v>1589</v>
      </c>
      <c r="H421" s="11" t="s">
        <v>1590</v>
      </c>
      <c r="I421" s="11"/>
      <c r="J421" s="11" t="s">
        <v>1591</v>
      </c>
      <c r="K421" s="9" t="s">
        <v>391</v>
      </c>
    </row>
    <row r="422" customFormat="false" ht="57.45" hidden="false" customHeight="false" outlineLevel="0" collapsed="false">
      <c r="A422" s="9" t="s">
        <v>16</v>
      </c>
      <c r="B422" s="9" t="s">
        <v>17</v>
      </c>
      <c r="C422" s="9" t="s">
        <v>97</v>
      </c>
      <c r="D422" s="9" t="s">
        <v>98</v>
      </c>
      <c r="E422" s="9" t="s">
        <v>386</v>
      </c>
      <c r="F422" s="11" t="s">
        <v>666</v>
      </c>
      <c r="G422" s="11" t="s">
        <v>1592</v>
      </c>
      <c r="H422" s="11" t="s">
        <v>1593</v>
      </c>
      <c r="I422" s="11"/>
      <c r="J422" s="11" t="s">
        <v>1591</v>
      </c>
      <c r="K422" s="9" t="s">
        <v>391</v>
      </c>
    </row>
    <row r="423" customFormat="false" ht="35.05" hidden="false" customHeight="false" outlineLevel="0" collapsed="false">
      <c r="A423" s="9" t="s">
        <v>18</v>
      </c>
      <c r="B423" s="9" t="s">
        <v>19</v>
      </c>
      <c r="C423" s="9" t="s">
        <v>103</v>
      </c>
      <c r="D423" s="9" t="s">
        <v>104</v>
      </c>
      <c r="E423" s="9" t="s">
        <v>386</v>
      </c>
      <c r="F423" s="11" t="s">
        <v>722</v>
      </c>
      <c r="G423" s="11" t="s">
        <v>1594</v>
      </c>
      <c r="H423" s="11" t="s">
        <v>1595</v>
      </c>
      <c r="I423" s="11"/>
      <c r="J423" s="11" t="s">
        <v>1596</v>
      </c>
      <c r="K423" s="9" t="s">
        <v>391</v>
      </c>
    </row>
    <row r="424" customFormat="false" ht="46.25" hidden="false" customHeight="false" outlineLevel="0" collapsed="false">
      <c r="A424" s="9" t="s">
        <v>18</v>
      </c>
      <c r="B424" s="9" t="s">
        <v>19</v>
      </c>
      <c r="C424" s="9" t="s">
        <v>103</v>
      </c>
      <c r="D424" s="9" t="s">
        <v>104</v>
      </c>
      <c r="E424" s="9" t="s">
        <v>386</v>
      </c>
      <c r="F424" s="11" t="s">
        <v>419</v>
      </c>
      <c r="G424" s="11" t="s">
        <v>1597</v>
      </c>
      <c r="H424" s="11" t="s">
        <v>1598</v>
      </c>
      <c r="I424" s="11"/>
      <c r="J424" s="11" t="s">
        <v>1599</v>
      </c>
      <c r="K424" s="9" t="s">
        <v>391</v>
      </c>
    </row>
    <row r="425" customFormat="false" ht="46.25" hidden="false" customHeight="false" outlineLevel="0" collapsed="false">
      <c r="A425" s="9" t="s">
        <v>18</v>
      </c>
      <c r="B425" s="9" t="s">
        <v>19</v>
      </c>
      <c r="C425" s="9" t="s">
        <v>103</v>
      </c>
      <c r="D425" s="9" t="s">
        <v>104</v>
      </c>
      <c r="E425" s="9" t="s">
        <v>386</v>
      </c>
      <c r="F425" s="11" t="s">
        <v>767</v>
      </c>
      <c r="G425" s="11" t="s">
        <v>1600</v>
      </c>
      <c r="H425" s="11" t="s">
        <v>1601</v>
      </c>
      <c r="I425" s="11"/>
      <c r="J425" s="11" t="s">
        <v>1602</v>
      </c>
      <c r="K425" s="9" t="s">
        <v>391</v>
      </c>
    </row>
    <row r="426" customFormat="false" ht="35.05" hidden="false" customHeight="false" outlineLevel="0" collapsed="false">
      <c r="A426" s="9" t="s">
        <v>18</v>
      </c>
      <c r="B426" s="9" t="s">
        <v>19</v>
      </c>
      <c r="C426" s="9" t="s">
        <v>103</v>
      </c>
      <c r="D426" s="9" t="s">
        <v>104</v>
      </c>
      <c r="E426" s="9" t="s">
        <v>386</v>
      </c>
      <c r="F426" s="11" t="s">
        <v>767</v>
      </c>
      <c r="G426" s="11" t="s">
        <v>1603</v>
      </c>
      <c r="H426" s="11" t="s">
        <v>1604</v>
      </c>
      <c r="I426" s="11"/>
      <c r="J426" s="11" t="s">
        <v>1596</v>
      </c>
      <c r="K426" s="9" t="s">
        <v>391</v>
      </c>
    </row>
    <row r="427" customFormat="false" ht="35.05" hidden="false" customHeight="false" outlineLevel="0" collapsed="false">
      <c r="A427" s="9" t="s">
        <v>18</v>
      </c>
      <c r="B427" s="9" t="s">
        <v>19</v>
      </c>
      <c r="C427" s="9" t="s">
        <v>103</v>
      </c>
      <c r="D427" s="9" t="s">
        <v>104</v>
      </c>
      <c r="E427" s="9" t="s">
        <v>386</v>
      </c>
      <c r="F427" s="11" t="s">
        <v>938</v>
      </c>
      <c r="G427" s="11" t="s">
        <v>1605</v>
      </c>
      <c r="H427" s="11" t="s">
        <v>1606</v>
      </c>
      <c r="I427" s="11"/>
      <c r="J427" s="11" t="s">
        <v>1607</v>
      </c>
      <c r="K427" s="9" t="s">
        <v>391</v>
      </c>
    </row>
    <row r="428" customFormat="false" ht="35.05" hidden="false" customHeight="false" outlineLevel="0" collapsed="false">
      <c r="A428" s="9" t="s">
        <v>18</v>
      </c>
      <c r="B428" s="9" t="s">
        <v>19</v>
      </c>
      <c r="C428" s="9" t="s">
        <v>103</v>
      </c>
      <c r="D428" s="9" t="s">
        <v>104</v>
      </c>
      <c r="E428" s="9" t="s">
        <v>386</v>
      </c>
      <c r="F428" s="11" t="s">
        <v>722</v>
      </c>
      <c r="G428" s="11" t="s">
        <v>1608</v>
      </c>
      <c r="H428" s="11" t="s">
        <v>1609</v>
      </c>
      <c r="I428" s="11"/>
      <c r="J428" s="11" t="s">
        <v>1596</v>
      </c>
      <c r="K428" s="9" t="s">
        <v>391</v>
      </c>
    </row>
    <row r="429" customFormat="false" ht="46.25" hidden="false" customHeight="false" outlineLevel="0" collapsed="false">
      <c r="A429" s="9" t="s">
        <v>18</v>
      </c>
      <c r="B429" s="9" t="s">
        <v>19</v>
      </c>
      <c r="C429" s="9" t="s">
        <v>103</v>
      </c>
      <c r="D429" s="9" t="s">
        <v>104</v>
      </c>
      <c r="E429" s="9" t="s">
        <v>386</v>
      </c>
      <c r="F429" s="11" t="s">
        <v>722</v>
      </c>
      <c r="G429" s="11" t="s">
        <v>1610</v>
      </c>
      <c r="H429" s="11" t="s">
        <v>1611</v>
      </c>
      <c r="I429" s="11"/>
      <c r="J429" s="11" t="s">
        <v>1596</v>
      </c>
      <c r="K429" s="9" t="s">
        <v>391</v>
      </c>
    </row>
    <row r="430" customFormat="false" ht="46.25" hidden="false" customHeight="false" outlineLevel="0" collapsed="false">
      <c r="A430" s="9" t="s">
        <v>18</v>
      </c>
      <c r="B430" s="9" t="s">
        <v>19</v>
      </c>
      <c r="C430" s="9" t="s">
        <v>103</v>
      </c>
      <c r="D430" s="9" t="s">
        <v>104</v>
      </c>
      <c r="E430" s="9" t="s">
        <v>386</v>
      </c>
      <c r="F430" s="11" t="s">
        <v>410</v>
      </c>
      <c r="G430" s="11" t="s">
        <v>1612</v>
      </c>
      <c r="H430" s="11" t="s">
        <v>1613</v>
      </c>
      <c r="I430" s="11"/>
      <c r="J430" s="11" t="s">
        <v>1602</v>
      </c>
      <c r="K430" s="9" t="s">
        <v>391</v>
      </c>
    </row>
    <row r="431" customFormat="false" ht="35.05" hidden="false" customHeight="false" outlineLevel="0" collapsed="false">
      <c r="A431" s="9" t="s">
        <v>18</v>
      </c>
      <c r="B431" s="9" t="s">
        <v>19</v>
      </c>
      <c r="C431" s="9" t="s">
        <v>103</v>
      </c>
      <c r="D431" s="9" t="s">
        <v>104</v>
      </c>
      <c r="E431" s="9" t="s">
        <v>386</v>
      </c>
      <c r="F431" s="11" t="s">
        <v>419</v>
      </c>
      <c r="G431" s="11" t="s">
        <v>1614</v>
      </c>
      <c r="H431" s="11" t="s">
        <v>1615</v>
      </c>
      <c r="I431" s="11"/>
      <c r="J431" s="11" t="s">
        <v>1602</v>
      </c>
      <c r="K431" s="9" t="s">
        <v>391</v>
      </c>
    </row>
    <row r="432" customFormat="false" ht="35.05" hidden="false" customHeight="false" outlineLevel="0" collapsed="false">
      <c r="A432" s="9" t="s">
        <v>18</v>
      </c>
      <c r="B432" s="9" t="s">
        <v>19</v>
      </c>
      <c r="C432" s="9" t="s">
        <v>103</v>
      </c>
      <c r="D432" s="9" t="s">
        <v>104</v>
      </c>
      <c r="E432" s="9" t="s">
        <v>386</v>
      </c>
      <c r="F432" s="11" t="s">
        <v>400</v>
      </c>
      <c r="G432" s="11" t="s">
        <v>1616</v>
      </c>
      <c r="H432" s="11" t="s">
        <v>1617</v>
      </c>
      <c r="I432" s="11"/>
      <c r="J432" s="11" t="s">
        <v>1618</v>
      </c>
      <c r="K432" s="9" t="s">
        <v>391</v>
      </c>
    </row>
    <row r="433" customFormat="false" ht="35.05" hidden="false" customHeight="false" outlineLevel="0" collapsed="false">
      <c r="A433" s="9" t="s">
        <v>18</v>
      </c>
      <c r="B433" s="9" t="s">
        <v>19</v>
      </c>
      <c r="C433" s="9" t="s">
        <v>103</v>
      </c>
      <c r="D433" s="9" t="s">
        <v>104</v>
      </c>
      <c r="E433" s="9" t="s">
        <v>386</v>
      </c>
      <c r="F433" s="11" t="s">
        <v>387</v>
      </c>
      <c r="G433" s="11" t="s">
        <v>1619</v>
      </c>
      <c r="H433" s="11" t="s">
        <v>1620</v>
      </c>
      <c r="I433" s="11"/>
      <c r="J433" s="11" t="s">
        <v>1621</v>
      </c>
      <c r="K433" s="9" t="s">
        <v>391</v>
      </c>
    </row>
    <row r="434" customFormat="false" ht="46.25" hidden="false" customHeight="false" outlineLevel="0" collapsed="false">
      <c r="A434" s="9" t="s">
        <v>18</v>
      </c>
      <c r="B434" s="9" t="s">
        <v>19</v>
      </c>
      <c r="C434" s="9" t="s">
        <v>103</v>
      </c>
      <c r="D434" s="9" t="s">
        <v>104</v>
      </c>
      <c r="E434" s="9" t="s">
        <v>386</v>
      </c>
      <c r="F434" s="11" t="s">
        <v>392</v>
      </c>
      <c r="G434" s="11" t="s">
        <v>1622</v>
      </c>
      <c r="H434" s="11" t="s">
        <v>1623</v>
      </c>
      <c r="I434" s="11"/>
      <c r="J434" s="11" t="s">
        <v>1624</v>
      </c>
      <c r="K434" s="9" t="s">
        <v>391</v>
      </c>
    </row>
    <row r="435" customFormat="false" ht="46.25" hidden="false" customHeight="false" outlineLevel="0" collapsed="false">
      <c r="A435" s="9" t="s">
        <v>18</v>
      </c>
      <c r="B435" s="9" t="s">
        <v>19</v>
      </c>
      <c r="C435" s="9" t="s">
        <v>298</v>
      </c>
      <c r="D435" s="9" t="s">
        <v>299</v>
      </c>
      <c r="E435" s="9" t="s">
        <v>386</v>
      </c>
      <c r="F435" s="11" t="s">
        <v>400</v>
      </c>
      <c r="G435" s="11" t="s">
        <v>1625</v>
      </c>
      <c r="H435" s="11" t="s">
        <v>1626</v>
      </c>
      <c r="I435" s="11" t="s">
        <v>1627</v>
      </c>
      <c r="J435" s="11" t="s">
        <v>1628</v>
      </c>
      <c r="K435" s="9" t="s">
        <v>391</v>
      </c>
    </row>
    <row r="436" customFormat="false" ht="35.05" hidden="false" customHeight="false" outlineLevel="0" collapsed="false">
      <c r="A436" s="9" t="s">
        <v>18</v>
      </c>
      <c r="B436" s="9" t="s">
        <v>19</v>
      </c>
      <c r="C436" s="9" t="s">
        <v>298</v>
      </c>
      <c r="D436" s="9" t="s">
        <v>299</v>
      </c>
      <c r="E436" s="9" t="s">
        <v>386</v>
      </c>
      <c r="F436" s="11" t="s">
        <v>410</v>
      </c>
      <c r="G436" s="11" t="s">
        <v>1629</v>
      </c>
      <c r="H436" s="11" t="s">
        <v>1630</v>
      </c>
      <c r="I436" s="11" t="s">
        <v>1631</v>
      </c>
      <c r="J436" s="11" t="s">
        <v>1632</v>
      </c>
      <c r="K436" s="9" t="s">
        <v>391</v>
      </c>
    </row>
    <row r="437" customFormat="false" ht="35.05" hidden="false" customHeight="false" outlineLevel="0" collapsed="false">
      <c r="A437" s="9" t="s">
        <v>18</v>
      </c>
      <c r="B437" s="9" t="s">
        <v>19</v>
      </c>
      <c r="C437" s="9" t="s">
        <v>298</v>
      </c>
      <c r="D437" s="9" t="s">
        <v>299</v>
      </c>
      <c r="E437" s="9" t="s">
        <v>386</v>
      </c>
      <c r="F437" s="11" t="s">
        <v>410</v>
      </c>
      <c r="G437" s="11" t="s">
        <v>1633</v>
      </c>
      <c r="H437" s="11" t="s">
        <v>1634</v>
      </c>
      <c r="I437" s="11" t="s">
        <v>1635</v>
      </c>
      <c r="J437" s="11" t="s">
        <v>1636</v>
      </c>
      <c r="K437" s="9" t="s">
        <v>391</v>
      </c>
    </row>
    <row r="438" customFormat="false" ht="46.25" hidden="false" customHeight="false" outlineLevel="0" collapsed="false">
      <c r="A438" s="9" t="s">
        <v>18</v>
      </c>
      <c r="B438" s="9" t="s">
        <v>19</v>
      </c>
      <c r="C438" s="9" t="s">
        <v>298</v>
      </c>
      <c r="D438" s="9" t="s">
        <v>299</v>
      </c>
      <c r="E438" s="9" t="s">
        <v>386</v>
      </c>
      <c r="F438" s="11" t="s">
        <v>767</v>
      </c>
      <c r="G438" s="11" t="s">
        <v>1637</v>
      </c>
      <c r="H438" s="11" t="s">
        <v>1638</v>
      </c>
      <c r="I438" s="11" t="s">
        <v>1639</v>
      </c>
      <c r="J438" s="11" t="s">
        <v>1640</v>
      </c>
      <c r="K438" s="9" t="s">
        <v>391</v>
      </c>
    </row>
    <row r="439" customFormat="false" ht="35.05" hidden="false" customHeight="false" outlineLevel="0" collapsed="false">
      <c r="A439" s="9" t="s">
        <v>18</v>
      </c>
      <c r="B439" s="9" t="s">
        <v>19</v>
      </c>
      <c r="C439" s="9" t="s">
        <v>298</v>
      </c>
      <c r="D439" s="9" t="s">
        <v>299</v>
      </c>
      <c r="E439" s="9" t="s">
        <v>386</v>
      </c>
      <c r="F439" s="11" t="s">
        <v>767</v>
      </c>
      <c r="G439" s="11" t="s">
        <v>1641</v>
      </c>
      <c r="H439" s="11" t="s">
        <v>1642</v>
      </c>
      <c r="I439" s="11" t="s">
        <v>1643</v>
      </c>
      <c r="J439" s="11" t="s">
        <v>1644</v>
      </c>
      <c r="K439" s="9" t="s">
        <v>391</v>
      </c>
    </row>
    <row r="440" customFormat="false" ht="35.05" hidden="false" customHeight="false" outlineLevel="0" collapsed="false">
      <c r="A440" s="9" t="s">
        <v>18</v>
      </c>
      <c r="B440" s="9" t="s">
        <v>19</v>
      </c>
      <c r="C440" s="9" t="s">
        <v>298</v>
      </c>
      <c r="D440" s="9" t="s">
        <v>299</v>
      </c>
      <c r="E440" s="9" t="s">
        <v>386</v>
      </c>
      <c r="F440" s="11" t="s">
        <v>387</v>
      </c>
      <c r="G440" s="11" t="s">
        <v>1645</v>
      </c>
      <c r="H440" s="11" t="s">
        <v>1646</v>
      </c>
      <c r="I440" s="11" t="s">
        <v>1647</v>
      </c>
      <c r="J440" s="11" t="s">
        <v>1648</v>
      </c>
      <c r="K440" s="9" t="s">
        <v>391</v>
      </c>
    </row>
    <row r="441" customFormat="false" ht="57.45" hidden="false" customHeight="false" outlineLevel="0" collapsed="false">
      <c r="A441" s="9" t="s">
        <v>18</v>
      </c>
      <c r="B441" s="9" t="s">
        <v>19</v>
      </c>
      <c r="C441" s="9" t="s">
        <v>298</v>
      </c>
      <c r="D441" s="9" t="s">
        <v>299</v>
      </c>
      <c r="E441" s="9" t="s">
        <v>386</v>
      </c>
      <c r="F441" s="11" t="s">
        <v>410</v>
      </c>
      <c r="G441" s="11" t="s">
        <v>1649</v>
      </c>
      <c r="H441" s="11" t="s">
        <v>1650</v>
      </c>
      <c r="I441" s="11" t="s">
        <v>1651</v>
      </c>
      <c r="J441" s="11" t="s">
        <v>1652</v>
      </c>
      <c r="K441" s="9" t="s">
        <v>391</v>
      </c>
    </row>
    <row r="442" customFormat="false" ht="46.25" hidden="false" customHeight="false" outlineLevel="0" collapsed="false">
      <c r="A442" s="9" t="s">
        <v>18</v>
      </c>
      <c r="B442" s="9" t="s">
        <v>19</v>
      </c>
      <c r="C442" s="9" t="s">
        <v>298</v>
      </c>
      <c r="D442" s="9" t="s">
        <v>299</v>
      </c>
      <c r="E442" s="9" t="s">
        <v>386</v>
      </c>
      <c r="F442" s="11" t="s">
        <v>410</v>
      </c>
      <c r="G442" s="11" t="s">
        <v>1653</v>
      </c>
      <c r="H442" s="11" t="s">
        <v>1654</v>
      </c>
      <c r="I442" s="11" t="s">
        <v>1655</v>
      </c>
      <c r="J442" s="11" t="s">
        <v>1652</v>
      </c>
      <c r="K442" s="9" t="s">
        <v>391</v>
      </c>
    </row>
    <row r="443" customFormat="false" ht="68.65" hidden="false" customHeight="false" outlineLevel="0" collapsed="false">
      <c r="A443" s="9" t="s">
        <v>18</v>
      </c>
      <c r="B443" s="9" t="s">
        <v>19</v>
      </c>
      <c r="C443" s="9" t="s">
        <v>298</v>
      </c>
      <c r="D443" s="9" t="s">
        <v>299</v>
      </c>
      <c r="E443" s="9" t="s">
        <v>386</v>
      </c>
      <c r="F443" s="11" t="s">
        <v>410</v>
      </c>
      <c r="G443" s="11" t="s">
        <v>1656</v>
      </c>
      <c r="H443" s="11" t="s">
        <v>1657</v>
      </c>
      <c r="I443" s="11" t="s">
        <v>1658</v>
      </c>
      <c r="J443" s="11" t="s">
        <v>1659</v>
      </c>
      <c r="K443" s="9" t="s">
        <v>391</v>
      </c>
    </row>
    <row r="444" customFormat="false" ht="57.45" hidden="false" customHeight="false" outlineLevel="0" collapsed="false">
      <c r="A444" s="9" t="s">
        <v>18</v>
      </c>
      <c r="B444" s="9" t="s">
        <v>19</v>
      </c>
      <c r="C444" s="9" t="s">
        <v>298</v>
      </c>
      <c r="D444" s="9" t="s">
        <v>299</v>
      </c>
      <c r="E444" s="9" t="s">
        <v>386</v>
      </c>
      <c r="F444" s="11" t="s">
        <v>410</v>
      </c>
      <c r="G444" s="11" t="s">
        <v>1660</v>
      </c>
      <c r="H444" s="11" t="s">
        <v>1661</v>
      </c>
      <c r="I444" s="11" t="s">
        <v>1662</v>
      </c>
      <c r="J444" s="11" t="s">
        <v>1659</v>
      </c>
      <c r="K444" s="9" t="s">
        <v>391</v>
      </c>
    </row>
    <row r="445" customFormat="false" ht="35.05" hidden="false" customHeight="false" outlineLevel="0" collapsed="false">
      <c r="A445" s="9" t="s">
        <v>18</v>
      </c>
      <c r="B445" s="9" t="s">
        <v>19</v>
      </c>
      <c r="C445" s="9" t="s">
        <v>298</v>
      </c>
      <c r="D445" s="9" t="s">
        <v>299</v>
      </c>
      <c r="E445" s="9" t="s">
        <v>386</v>
      </c>
      <c r="F445" s="11" t="s">
        <v>410</v>
      </c>
      <c r="G445" s="11" t="s">
        <v>1663</v>
      </c>
      <c r="H445" s="11" t="s">
        <v>1664</v>
      </c>
      <c r="I445" s="11" t="s">
        <v>1665</v>
      </c>
      <c r="J445" s="11" t="s">
        <v>1652</v>
      </c>
      <c r="K445" s="9" t="s">
        <v>391</v>
      </c>
    </row>
    <row r="446" customFormat="false" ht="35.05" hidden="false" customHeight="false" outlineLevel="0" collapsed="false">
      <c r="A446" s="9" t="s">
        <v>18</v>
      </c>
      <c r="B446" s="9" t="s">
        <v>19</v>
      </c>
      <c r="C446" s="9" t="s">
        <v>298</v>
      </c>
      <c r="D446" s="9" t="s">
        <v>299</v>
      </c>
      <c r="E446" s="9" t="s">
        <v>386</v>
      </c>
      <c r="F446" s="11" t="s">
        <v>410</v>
      </c>
      <c r="G446" s="11" t="s">
        <v>1666</v>
      </c>
      <c r="H446" s="11" t="s">
        <v>1667</v>
      </c>
      <c r="I446" s="11" t="s">
        <v>1668</v>
      </c>
      <c r="J446" s="11" t="s">
        <v>1669</v>
      </c>
      <c r="K446" s="9" t="s">
        <v>391</v>
      </c>
    </row>
    <row r="447" customFormat="false" ht="35.05" hidden="false" customHeight="false" outlineLevel="0" collapsed="false">
      <c r="A447" s="9" t="s">
        <v>18</v>
      </c>
      <c r="B447" s="9" t="s">
        <v>19</v>
      </c>
      <c r="C447" s="9" t="s">
        <v>298</v>
      </c>
      <c r="D447" s="9" t="s">
        <v>299</v>
      </c>
      <c r="E447" s="9" t="s">
        <v>386</v>
      </c>
      <c r="F447" s="11" t="s">
        <v>410</v>
      </c>
      <c r="G447" s="11" t="s">
        <v>1670</v>
      </c>
      <c r="H447" s="11" t="s">
        <v>1671</v>
      </c>
      <c r="I447" s="11" t="s">
        <v>1672</v>
      </c>
      <c r="J447" s="11" t="s">
        <v>1673</v>
      </c>
      <c r="K447" s="9" t="s">
        <v>391</v>
      </c>
    </row>
    <row r="448" customFormat="false" ht="35.05" hidden="false" customHeight="false" outlineLevel="0" collapsed="false">
      <c r="A448" s="9" t="s">
        <v>18</v>
      </c>
      <c r="B448" s="9" t="s">
        <v>19</v>
      </c>
      <c r="C448" s="9" t="s">
        <v>100</v>
      </c>
      <c r="D448" s="9" t="s">
        <v>101</v>
      </c>
      <c r="E448" s="9" t="s">
        <v>386</v>
      </c>
      <c r="F448" s="11" t="s">
        <v>938</v>
      </c>
      <c r="G448" s="11" t="s">
        <v>1674</v>
      </c>
      <c r="H448" s="11" t="s">
        <v>1675</v>
      </c>
      <c r="I448" s="11" t="s">
        <v>1676</v>
      </c>
      <c r="J448" s="11" t="s">
        <v>1677</v>
      </c>
      <c r="K448" s="9" t="s">
        <v>391</v>
      </c>
    </row>
    <row r="449" customFormat="false" ht="35.05" hidden="false" customHeight="false" outlineLevel="0" collapsed="false">
      <c r="A449" s="9" t="s">
        <v>18</v>
      </c>
      <c r="B449" s="9" t="s">
        <v>19</v>
      </c>
      <c r="C449" s="9" t="s">
        <v>100</v>
      </c>
      <c r="D449" s="9" t="s">
        <v>101</v>
      </c>
      <c r="E449" s="9" t="s">
        <v>386</v>
      </c>
      <c r="F449" s="11" t="s">
        <v>392</v>
      </c>
      <c r="G449" s="11" t="s">
        <v>1678</v>
      </c>
      <c r="H449" s="11" t="s">
        <v>1679</v>
      </c>
      <c r="I449" s="11" t="s">
        <v>1680</v>
      </c>
      <c r="J449" s="11" t="s">
        <v>1681</v>
      </c>
      <c r="K449" s="9" t="s">
        <v>391</v>
      </c>
    </row>
    <row r="450" customFormat="false" ht="46.25" hidden="false" customHeight="false" outlineLevel="0" collapsed="false">
      <c r="A450" s="9" t="s">
        <v>18</v>
      </c>
      <c r="B450" s="9" t="s">
        <v>19</v>
      </c>
      <c r="C450" s="9" t="s">
        <v>100</v>
      </c>
      <c r="D450" s="9" t="s">
        <v>101</v>
      </c>
      <c r="E450" s="9" t="s">
        <v>386</v>
      </c>
      <c r="F450" s="11" t="s">
        <v>767</v>
      </c>
      <c r="G450" s="11" t="s">
        <v>1682</v>
      </c>
      <c r="H450" s="11" t="s">
        <v>1683</v>
      </c>
      <c r="I450" s="11" t="s">
        <v>1683</v>
      </c>
      <c r="J450" s="11" t="s">
        <v>1684</v>
      </c>
      <c r="K450" s="9" t="s">
        <v>391</v>
      </c>
    </row>
    <row r="451" customFormat="false" ht="46.25" hidden="false" customHeight="false" outlineLevel="0" collapsed="false">
      <c r="A451" s="9" t="s">
        <v>18</v>
      </c>
      <c r="B451" s="9" t="s">
        <v>19</v>
      </c>
      <c r="C451" s="9" t="s">
        <v>100</v>
      </c>
      <c r="D451" s="9" t="s">
        <v>101</v>
      </c>
      <c r="E451" s="9" t="s">
        <v>386</v>
      </c>
      <c r="F451" s="11" t="s">
        <v>441</v>
      </c>
      <c r="G451" s="11" t="s">
        <v>1685</v>
      </c>
      <c r="H451" s="11" t="s">
        <v>1686</v>
      </c>
      <c r="I451" s="11" t="s">
        <v>1687</v>
      </c>
      <c r="J451" s="11" t="s">
        <v>1677</v>
      </c>
      <c r="K451" s="9" t="s">
        <v>391</v>
      </c>
    </row>
    <row r="452" customFormat="false" ht="35.05" hidden="false" customHeight="false" outlineLevel="0" collapsed="false">
      <c r="A452" s="9" t="s">
        <v>18</v>
      </c>
      <c r="B452" s="9" t="s">
        <v>19</v>
      </c>
      <c r="C452" s="9" t="s">
        <v>100</v>
      </c>
      <c r="D452" s="9" t="s">
        <v>101</v>
      </c>
      <c r="E452" s="9" t="s">
        <v>386</v>
      </c>
      <c r="F452" s="11" t="s">
        <v>410</v>
      </c>
      <c r="G452" s="11" t="s">
        <v>1688</v>
      </c>
      <c r="H452" s="11" t="s">
        <v>1689</v>
      </c>
      <c r="I452" s="11" t="s">
        <v>1690</v>
      </c>
      <c r="J452" s="11" t="s">
        <v>1691</v>
      </c>
      <c r="K452" s="9" t="s">
        <v>391</v>
      </c>
    </row>
    <row r="453" customFormat="false" ht="57.45" hidden="false" customHeight="false" outlineLevel="0" collapsed="false">
      <c r="A453" s="9" t="s">
        <v>18</v>
      </c>
      <c r="B453" s="9" t="s">
        <v>19</v>
      </c>
      <c r="C453" s="9" t="s">
        <v>100</v>
      </c>
      <c r="D453" s="9" t="s">
        <v>101</v>
      </c>
      <c r="E453" s="9" t="s">
        <v>386</v>
      </c>
      <c r="F453" s="11" t="s">
        <v>938</v>
      </c>
      <c r="G453" s="11" t="s">
        <v>1692</v>
      </c>
      <c r="H453" s="11" t="s">
        <v>1693</v>
      </c>
      <c r="I453" s="11" t="s">
        <v>1694</v>
      </c>
      <c r="J453" s="11" t="s">
        <v>1677</v>
      </c>
      <c r="K453" s="9" t="s">
        <v>391</v>
      </c>
    </row>
    <row r="454" customFormat="false" ht="46.25" hidden="false" customHeight="false" outlineLevel="0" collapsed="false">
      <c r="A454" s="9" t="s">
        <v>18</v>
      </c>
      <c r="B454" s="9" t="s">
        <v>19</v>
      </c>
      <c r="C454" s="9" t="s">
        <v>100</v>
      </c>
      <c r="D454" s="9" t="s">
        <v>101</v>
      </c>
      <c r="E454" s="9" t="s">
        <v>386</v>
      </c>
      <c r="F454" s="11" t="s">
        <v>400</v>
      </c>
      <c r="G454" s="11" t="s">
        <v>1695</v>
      </c>
      <c r="H454" s="11" t="s">
        <v>1696</v>
      </c>
      <c r="I454" s="11" t="s">
        <v>1697</v>
      </c>
      <c r="J454" s="11" t="s">
        <v>1698</v>
      </c>
      <c r="K454" s="9" t="s">
        <v>391</v>
      </c>
    </row>
    <row r="455" customFormat="false" ht="46.25" hidden="false" customHeight="false" outlineLevel="0" collapsed="false">
      <c r="A455" s="9" t="s">
        <v>18</v>
      </c>
      <c r="B455" s="9" t="s">
        <v>19</v>
      </c>
      <c r="C455" s="9" t="s">
        <v>100</v>
      </c>
      <c r="D455" s="9" t="s">
        <v>101</v>
      </c>
      <c r="E455" s="9" t="s">
        <v>386</v>
      </c>
      <c r="F455" s="11" t="s">
        <v>387</v>
      </c>
      <c r="G455" s="11" t="s">
        <v>1699</v>
      </c>
      <c r="H455" s="11" t="s">
        <v>1700</v>
      </c>
      <c r="I455" s="11" t="s">
        <v>1701</v>
      </c>
      <c r="J455" s="11" t="s">
        <v>1702</v>
      </c>
      <c r="K455" s="9" t="s">
        <v>391</v>
      </c>
    </row>
    <row r="456" customFormat="false" ht="57.45" hidden="false" customHeight="false" outlineLevel="0" collapsed="false">
      <c r="A456" s="9" t="s">
        <v>18</v>
      </c>
      <c r="B456" s="9" t="s">
        <v>19</v>
      </c>
      <c r="C456" s="9" t="s">
        <v>100</v>
      </c>
      <c r="D456" s="9" t="s">
        <v>101</v>
      </c>
      <c r="E456" s="9" t="s">
        <v>386</v>
      </c>
      <c r="F456" s="11" t="s">
        <v>387</v>
      </c>
      <c r="G456" s="11" t="s">
        <v>1703</v>
      </c>
      <c r="H456" s="11" t="s">
        <v>1704</v>
      </c>
      <c r="I456" s="11" t="s">
        <v>1705</v>
      </c>
      <c r="J456" s="11" t="s">
        <v>1702</v>
      </c>
      <c r="K456" s="9" t="s">
        <v>391</v>
      </c>
    </row>
    <row r="457" customFormat="false" ht="35.05" hidden="false" customHeight="false" outlineLevel="0" collapsed="false">
      <c r="A457" s="9" t="s">
        <v>18</v>
      </c>
      <c r="B457" s="9" t="s">
        <v>19</v>
      </c>
      <c r="C457" s="9" t="s">
        <v>100</v>
      </c>
      <c r="D457" s="9" t="s">
        <v>101</v>
      </c>
      <c r="E457" s="9" t="s">
        <v>386</v>
      </c>
      <c r="F457" s="11" t="s">
        <v>1706</v>
      </c>
      <c r="G457" s="11" t="s">
        <v>1707</v>
      </c>
      <c r="H457" s="11" t="s">
        <v>1708</v>
      </c>
      <c r="I457" s="11" t="s">
        <v>1709</v>
      </c>
      <c r="J457" s="11" t="s">
        <v>1710</v>
      </c>
      <c r="K457" s="9" t="s">
        <v>391</v>
      </c>
    </row>
    <row r="458" customFormat="false" ht="46.25" hidden="false" customHeight="false" outlineLevel="0" collapsed="false">
      <c r="A458" s="9" t="s">
        <v>18</v>
      </c>
      <c r="B458" s="9" t="s">
        <v>19</v>
      </c>
      <c r="C458" s="9" t="s">
        <v>100</v>
      </c>
      <c r="D458" s="9" t="s">
        <v>101</v>
      </c>
      <c r="E458" s="9" t="s">
        <v>386</v>
      </c>
      <c r="F458" s="11" t="s">
        <v>410</v>
      </c>
      <c r="G458" s="11" t="s">
        <v>1711</v>
      </c>
      <c r="H458" s="11" t="s">
        <v>1712</v>
      </c>
      <c r="I458" s="11" t="s">
        <v>1713</v>
      </c>
      <c r="J458" s="11" t="s">
        <v>1714</v>
      </c>
      <c r="K458" s="9" t="s">
        <v>391</v>
      </c>
    </row>
    <row r="459" customFormat="false" ht="35.05" hidden="false" customHeight="false" outlineLevel="0" collapsed="false">
      <c r="A459" s="9" t="s">
        <v>18</v>
      </c>
      <c r="B459" s="9" t="s">
        <v>19</v>
      </c>
      <c r="C459" s="9" t="s">
        <v>100</v>
      </c>
      <c r="D459" s="9" t="s">
        <v>101</v>
      </c>
      <c r="E459" s="9" t="s">
        <v>386</v>
      </c>
      <c r="F459" s="11" t="s">
        <v>410</v>
      </c>
      <c r="G459" s="11" t="s">
        <v>1715</v>
      </c>
      <c r="H459" s="11" t="s">
        <v>1716</v>
      </c>
      <c r="I459" s="11" t="s">
        <v>1717</v>
      </c>
      <c r="J459" s="11" t="s">
        <v>1681</v>
      </c>
      <c r="K459" s="9" t="s">
        <v>391</v>
      </c>
    </row>
    <row r="460" customFormat="false" ht="46.25" hidden="false" customHeight="false" outlineLevel="0" collapsed="false">
      <c r="A460" s="9" t="s">
        <v>18</v>
      </c>
      <c r="B460" s="9" t="s">
        <v>19</v>
      </c>
      <c r="C460" s="9" t="s">
        <v>100</v>
      </c>
      <c r="D460" s="9" t="s">
        <v>101</v>
      </c>
      <c r="E460" s="9" t="s">
        <v>386</v>
      </c>
      <c r="F460" s="11" t="s">
        <v>392</v>
      </c>
      <c r="G460" s="11" t="s">
        <v>1718</v>
      </c>
      <c r="H460" s="11" t="s">
        <v>1719</v>
      </c>
      <c r="I460" s="11" t="s">
        <v>1720</v>
      </c>
      <c r="J460" s="11" t="s">
        <v>1721</v>
      </c>
      <c r="K460" s="9" t="s">
        <v>391</v>
      </c>
    </row>
    <row r="461" customFormat="false" ht="68.65" hidden="false" customHeight="false" outlineLevel="0" collapsed="false">
      <c r="A461" s="9" t="s">
        <v>18</v>
      </c>
      <c r="B461" s="9" t="s">
        <v>20</v>
      </c>
      <c r="C461" s="9" t="s">
        <v>314</v>
      </c>
      <c r="D461" s="9" t="s">
        <v>315</v>
      </c>
      <c r="E461" s="9" t="s">
        <v>386</v>
      </c>
      <c r="F461" s="11" t="s">
        <v>974</v>
      </c>
      <c r="G461" s="11" t="s">
        <v>1722</v>
      </c>
      <c r="H461" s="11" t="s">
        <v>1723</v>
      </c>
      <c r="I461" s="11" t="s">
        <v>1724</v>
      </c>
      <c r="J461" s="11" t="s">
        <v>1725</v>
      </c>
      <c r="K461" s="9" t="s">
        <v>391</v>
      </c>
    </row>
    <row r="462" customFormat="false" ht="46.25" hidden="false" customHeight="false" outlineLevel="0" collapsed="false">
      <c r="A462" s="9" t="s">
        <v>18</v>
      </c>
      <c r="B462" s="9" t="s">
        <v>20</v>
      </c>
      <c r="C462" s="9" t="s">
        <v>314</v>
      </c>
      <c r="D462" s="9" t="s">
        <v>315</v>
      </c>
      <c r="E462" s="9" t="s">
        <v>386</v>
      </c>
      <c r="F462" s="11" t="s">
        <v>410</v>
      </c>
      <c r="G462" s="11" t="s">
        <v>1726</v>
      </c>
      <c r="H462" s="11" t="s">
        <v>1727</v>
      </c>
      <c r="I462" s="11" t="s">
        <v>1728</v>
      </c>
      <c r="J462" s="11" t="s">
        <v>1729</v>
      </c>
      <c r="K462" s="9" t="s">
        <v>391</v>
      </c>
    </row>
    <row r="463" customFormat="false" ht="46.25" hidden="false" customHeight="false" outlineLevel="0" collapsed="false">
      <c r="A463" s="9" t="s">
        <v>18</v>
      </c>
      <c r="B463" s="9" t="s">
        <v>20</v>
      </c>
      <c r="C463" s="9" t="s">
        <v>314</v>
      </c>
      <c r="D463" s="9" t="s">
        <v>315</v>
      </c>
      <c r="E463" s="9" t="s">
        <v>386</v>
      </c>
      <c r="F463" s="11" t="s">
        <v>410</v>
      </c>
      <c r="G463" s="11" t="s">
        <v>1730</v>
      </c>
      <c r="H463" s="11" t="s">
        <v>1731</v>
      </c>
      <c r="I463" s="11" t="s">
        <v>1732</v>
      </c>
      <c r="J463" s="11" t="s">
        <v>1725</v>
      </c>
      <c r="K463" s="9" t="s">
        <v>391</v>
      </c>
    </row>
    <row r="464" customFormat="false" ht="57.45" hidden="false" customHeight="false" outlineLevel="0" collapsed="false">
      <c r="A464" s="9" t="s">
        <v>18</v>
      </c>
      <c r="B464" s="9" t="s">
        <v>20</v>
      </c>
      <c r="C464" s="9" t="s">
        <v>314</v>
      </c>
      <c r="D464" s="9" t="s">
        <v>315</v>
      </c>
      <c r="E464" s="9" t="s">
        <v>386</v>
      </c>
      <c r="F464" s="11" t="s">
        <v>410</v>
      </c>
      <c r="G464" s="11" t="s">
        <v>1733</v>
      </c>
      <c r="H464" s="11" t="s">
        <v>1734</v>
      </c>
      <c r="I464" s="11" t="s">
        <v>1735</v>
      </c>
      <c r="J464" s="11" t="s">
        <v>1736</v>
      </c>
      <c r="K464" s="9" t="s">
        <v>391</v>
      </c>
    </row>
    <row r="465" customFormat="false" ht="35.05" hidden="false" customHeight="false" outlineLevel="0" collapsed="false">
      <c r="A465" s="9" t="s">
        <v>18</v>
      </c>
      <c r="B465" s="9" t="s">
        <v>20</v>
      </c>
      <c r="C465" s="9" t="s">
        <v>314</v>
      </c>
      <c r="D465" s="9" t="s">
        <v>315</v>
      </c>
      <c r="E465" s="9" t="s">
        <v>386</v>
      </c>
      <c r="F465" s="11" t="s">
        <v>410</v>
      </c>
      <c r="G465" s="11" t="s">
        <v>1737</v>
      </c>
      <c r="H465" s="11" t="s">
        <v>1738</v>
      </c>
      <c r="I465" s="11" t="s">
        <v>1739</v>
      </c>
      <c r="J465" s="11" t="s">
        <v>1736</v>
      </c>
      <c r="K465" s="9" t="s">
        <v>391</v>
      </c>
    </row>
    <row r="466" customFormat="false" ht="35.05" hidden="false" customHeight="false" outlineLevel="0" collapsed="false">
      <c r="A466" s="9" t="s">
        <v>18</v>
      </c>
      <c r="B466" s="9" t="s">
        <v>20</v>
      </c>
      <c r="C466" s="9" t="s">
        <v>314</v>
      </c>
      <c r="D466" s="9" t="s">
        <v>315</v>
      </c>
      <c r="E466" s="9" t="s">
        <v>386</v>
      </c>
      <c r="F466" s="11" t="s">
        <v>410</v>
      </c>
      <c r="G466" s="11" t="s">
        <v>1740</v>
      </c>
      <c r="H466" s="11" t="s">
        <v>1741</v>
      </c>
      <c r="I466" s="11" t="s">
        <v>1742</v>
      </c>
      <c r="J466" s="11" t="s">
        <v>1736</v>
      </c>
      <c r="K466" s="9" t="s">
        <v>391</v>
      </c>
    </row>
    <row r="467" customFormat="false" ht="46.25" hidden="false" customHeight="false" outlineLevel="0" collapsed="false">
      <c r="A467" s="9" t="s">
        <v>18</v>
      </c>
      <c r="B467" s="9" t="s">
        <v>20</v>
      </c>
      <c r="C467" s="9" t="s">
        <v>314</v>
      </c>
      <c r="D467" s="9" t="s">
        <v>315</v>
      </c>
      <c r="E467" s="9" t="s">
        <v>386</v>
      </c>
      <c r="F467" s="11" t="s">
        <v>410</v>
      </c>
      <c r="G467" s="11" t="s">
        <v>1743</v>
      </c>
      <c r="H467" s="11" t="s">
        <v>1744</v>
      </c>
      <c r="I467" s="11" t="s">
        <v>1745</v>
      </c>
      <c r="J467" s="11" t="s">
        <v>1725</v>
      </c>
      <c r="K467" s="9" t="s">
        <v>391</v>
      </c>
    </row>
    <row r="468" customFormat="false" ht="57.45" hidden="false" customHeight="false" outlineLevel="0" collapsed="false">
      <c r="A468" s="9" t="s">
        <v>18</v>
      </c>
      <c r="B468" s="9" t="s">
        <v>20</v>
      </c>
      <c r="C468" s="9" t="s">
        <v>314</v>
      </c>
      <c r="D468" s="9" t="s">
        <v>315</v>
      </c>
      <c r="E468" s="9" t="s">
        <v>386</v>
      </c>
      <c r="F468" s="11" t="s">
        <v>410</v>
      </c>
      <c r="G468" s="11" t="s">
        <v>1746</v>
      </c>
      <c r="H468" s="11" t="s">
        <v>1747</v>
      </c>
      <c r="I468" s="11" t="s">
        <v>1748</v>
      </c>
      <c r="J468" s="11" t="s">
        <v>1725</v>
      </c>
      <c r="K468" s="9" t="s">
        <v>391</v>
      </c>
    </row>
    <row r="469" customFormat="false" ht="35.05" hidden="false" customHeight="false" outlineLevel="0" collapsed="false">
      <c r="A469" s="9" t="s">
        <v>18</v>
      </c>
      <c r="B469" s="9" t="s">
        <v>20</v>
      </c>
      <c r="C469" s="9" t="s">
        <v>314</v>
      </c>
      <c r="D469" s="9" t="s">
        <v>315</v>
      </c>
      <c r="E469" s="9" t="s">
        <v>386</v>
      </c>
      <c r="F469" s="11" t="s">
        <v>400</v>
      </c>
      <c r="G469" s="11" t="s">
        <v>1749</v>
      </c>
      <c r="H469" s="11" t="s">
        <v>1750</v>
      </c>
      <c r="I469" s="11" t="s">
        <v>1751</v>
      </c>
      <c r="J469" s="11" t="s">
        <v>1752</v>
      </c>
      <c r="K469" s="9" t="s">
        <v>391</v>
      </c>
    </row>
    <row r="470" customFormat="false" ht="35.05" hidden="false" customHeight="false" outlineLevel="0" collapsed="false">
      <c r="A470" s="9" t="s">
        <v>18</v>
      </c>
      <c r="B470" s="9" t="s">
        <v>20</v>
      </c>
      <c r="C470" s="9" t="s">
        <v>314</v>
      </c>
      <c r="D470" s="9" t="s">
        <v>315</v>
      </c>
      <c r="E470" s="9" t="s">
        <v>1753</v>
      </c>
      <c r="F470" s="11" t="s">
        <v>305</v>
      </c>
      <c r="G470" s="11" t="s">
        <v>1754</v>
      </c>
      <c r="H470" s="11" t="s">
        <v>1755</v>
      </c>
      <c r="I470" s="11" t="s">
        <v>1756</v>
      </c>
      <c r="J470" s="11" t="s">
        <v>1757</v>
      </c>
      <c r="K470" s="9" t="s">
        <v>391</v>
      </c>
    </row>
    <row r="471" customFormat="false" ht="57.45" hidden="false" customHeight="false" outlineLevel="0" collapsed="false">
      <c r="A471" s="9" t="s">
        <v>18</v>
      </c>
      <c r="B471" s="9" t="s">
        <v>20</v>
      </c>
      <c r="C471" s="9" t="s">
        <v>106</v>
      </c>
      <c r="D471" s="9" t="s">
        <v>107</v>
      </c>
      <c r="E471" s="9" t="s">
        <v>386</v>
      </c>
      <c r="F471" s="11" t="s">
        <v>448</v>
      </c>
      <c r="G471" s="11" t="s">
        <v>1758</v>
      </c>
      <c r="H471" s="11" t="s">
        <v>1759</v>
      </c>
      <c r="I471" s="11" t="s">
        <v>1760</v>
      </c>
      <c r="J471" s="11" t="s">
        <v>1761</v>
      </c>
      <c r="K471" s="9" t="s">
        <v>391</v>
      </c>
    </row>
    <row r="472" customFormat="false" ht="57.45" hidden="false" customHeight="false" outlineLevel="0" collapsed="false">
      <c r="A472" s="9" t="s">
        <v>18</v>
      </c>
      <c r="B472" s="9" t="s">
        <v>20</v>
      </c>
      <c r="C472" s="9" t="s">
        <v>106</v>
      </c>
      <c r="D472" s="9" t="s">
        <v>107</v>
      </c>
      <c r="E472" s="9" t="s">
        <v>386</v>
      </c>
      <c r="F472" s="11" t="s">
        <v>392</v>
      </c>
      <c r="G472" s="11" t="s">
        <v>1762</v>
      </c>
      <c r="H472" s="11" t="s">
        <v>1763</v>
      </c>
      <c r="I472" s="11" t="s">
        <v>1764</v>
      </c>
      <c r="J472" s="11" t="s">
        <v>1765</v>
      </c>
      <c r="K472" s="9" t="s">
        <v>391</v>
      </c>
    </row>
    <row r="473" customFormat="false" ht="46.25" hidden="false" customHeight="false" outlineLevel="0" collapsed="false">
      <c r="A473" s="9" t="s">
        <v>18</v>
      </c>
      <c r="B473" s="9" t="s">
        <v>20</v>
      </c>
      <c r="C473" s="9" t="s">
        <v>106</v>
      </c>
      <c r="D473" s="9" t="s">
        <v>107</v>
      </c>
      <c r="E473" s="9" t="s">
        <v>386</v>
      </c>
      <c r="F473" s="11" t="s">
        <v>767</v>
      </c>
      <c r="G473" s="11" t="s">
        <v>1766</v>
      </c>
      <c r="H473" s="11" t="s">
        <v>1767</v>
      </c>
      <c r="I473" s="11" t="s">
        <v>1767</v>
      </c>
      <c r="J473" s="11" t="s">
        <v>1768</v>
      </c>
      <c r="K473" s="9" t="s">
        <v>391</v>
      </c>
    </row>
    <row r="474" customFormat="false" ht="57.45" hidden="false" customHeight="false" outlineLevel="0" collapsed="false">
      <c r="A474" s="9" t="s">
        <v>18</v>
      </c>
      <c r="B474" s="9" t="s">
        <v>20</v>
      </c>
      <c r="C474" s="9" t="s">
        <v>106</v>
      </c>
      <c r="D474" s="9" t="s">
        <v>107</v>
      </c>
      <c r="E474" s="9" t="s">
        <v>386</v>
      </c>
      <c r="F474" s="11" t="s">
        <v>410</v>
      </c>
      <c r="G474" s="11" t="s">
        <v>1769</v>
      </c>
      <c r="H474" s="11" t="s">
        <v>1770</v>
      </c>
      <c r="I474" s="11" t="s">
        <v>1771</v>
      </c>
      <c r="J474" s="11" t="s">
        <v>1772</v>
      </c>
      <c r="K474" s="9" t="s">
        <v>391</v>
      </c>
    </row>
    <row r="475" customFormat="false" ht="57.45" hidden="false" customHeight="false" outlineLevel="0" collapsed="false">
      <c r="A475" s="9" t="s">
        <v>18</v>
      </c>
      <c r="B475" s="9" t="s">
        <v>20</v>
      </c>
      <c r="C475" s="9" t="s">
        <v>106</v>
      </c>
      <c r="D475" s="9" t="s">
        <v>107</v>
      </c>
      <c r="E475" s="9" t="s">
        <v>386</v>
      </c>
      <c r="F475" s="11" t="s">
        <v>410</v>
      </c>
      <c r="G475" s="11" t="s">
        <v>1773</v>
      </c>
      <c r="H475" s="11" t="s">
        <v>1774</v>
      </c>
      <c r="I475" s="11" t="s">
        <v>1775</v>
      </c>
      <c r="J475" s="11" t="s">
        <v>1776</v>
      </c>
      <c r="K475" s="9" t="s">
        <v>391</v>
      </c>
    </row>
    <row r="476" customFormat="false" ht="46.25" hidden="false" customHeight="false" outlineLevel="0" collapsed="false">
      <c r="A476" s="9" t="s">
        <v>18</v>
      </c>
      <c r="B476" s="9" t="s">
        <v>20</v>
      </c>
      <c r="C476" s="9" t="s">
        <v>106</v>
      </c>
      <c r="D476" s="9" t="s">
        <v>107</v>
      </c>
      <c r="E476" s="9" t="s">
        <v>386</v>
      </c>
      <c r="F476" s="11" t="s">
        <v>387</v>
      </c>
      <c r="G476" s="11" t="s">
        <v>1777</v>
      </c>
      <c r="H476" s="11" t="s">
        <v>1778</v>
      </c>
      <c r="I476" s="11" t="s">
        <v>1779</v>
      </c>
      <c r="J476" s="11" t="s">
        <v>1780</v>
      </c>
      <c r="K476" s="9" t="s">
        <v>391</v>
      </c>
    </row>
    <row r="477" customFormat="false" ht="46.25" hidden="false" customHeight="false" outlineLevel="0" collapsed="false">
      <c r="A477" s="9" t="s">
        <v>18</v>
      </c>
      <c r="B477" s="9" t="s">
        <v>20</v>
      </c>
      <c r="C477" s="9" t="s">
        <v>106</v>
      </c>
      <c r="D477" s="9" t="s">
        <v>107</v>
      </c>
      <c r="E477" s="9" t="s">
        <v>386</v>
      </c>
      <c r="F477" s="11" t="s">
        <v>400</v>
      </c>
      <c r="G477" s="11" t="s">
        <v>1781</v>
      </c>
      <c r="H477" s="11" t="s">
        <v>1782</v>
      </c>
      <c r="I477" s="11" t="s">
        <v>1783</v>
      </c>
      <c r="J477" s="11" t="s">
        <v>1784</v>
      </c>
      <c r="K477" s="9" t="s">
        <v>391</v>
      </c>
    </row>
    <row r="478" customFormat="false" ht="46.25" hidden="false" customHeight="false" outlineLevel="0" collapsed="false">
      <c r="A478" s="9" t="s">
        <v>18</v>
      </c>
      <c r="B478" s="9" t="s">
        <v>20</v>
      </c>
      <c r="C478" s="9" t="s">
        <v>106</v>
      </c>
      <c r="D478" s="9" t="s">
        <v>107</v>
      </c>
      <c r="E478" s="9" t="s">
        <v>386</v>
      </c>
      <c r="F478" s="11" t="s">
        <v>400</v>
      </c>
      <c r="G478" s="11" t="s">
        <v>1785</v>
      </c>
      <c r="H478" s="11" t="s">
        <v>1786</v>
      </c>
      <c r="I478" s="11" t="s">
        <v>1787</v>
      </c>
      <c r="J478" s="11" t="s">
        <v>1788</v>
      </c>
      <c r="K478" s="9" t="s">
        <v>391</v>
      </c>
    </row>
    <row r="479" customFormat="false" ht="57.45" hidden="false" customHeight="false" outlineLevel="0" collapsed="false">
      <c r="A479" s="9" t="s">
        <v>18</v>
      </c>
      <c r="B479" s="9" t="s">
        <v>20</v>
      </c>
      <c r="C479" s="9" t="s">
        <v>106</v>
      </c>
      <c r="D479" s="9" t="s">
        <v>107</v>
      </c>
      <c r="E479" s="9" t="s">
        <v>386</v>
      </c>
      <c r="F479" s="11" t="s">
        <v>392</v>
      </c>
      <c r="G479" s="11" t="s">
        <v>1789</v>
      </c>
      <c r="H479" s="11" t="s">
        <v>1790</v>
      </c>
      <c r="I479" s="11" t="s">
        <v>1790</v>
      </c>
      <c r="J479" s="11" t="s">
        <v>1791</v>
      </c>
      <c r="K479" s="9" t="s">
        <v>391</v>
      </c>
    </row>
    <row r="480" customFormat="false" ht="46.25" hidden="false" customHeight="false" outlineLevel="0" collapsed="false">
      <c r="A480" s="9" t="s">
        <v>18</v>
      </c>
      <c r="B480" s="9" t="s">
        <v>20</v>
      </c>
      <c r="C480" s="9" t="s">
        <v>106</v>
      </c>
      <c r="D480" s="9" t="s">
        <v>107</v>
      </c>
      <c r="E480" s="9" t="s">
        <v>386</v>
      </c>
      <c r="F480" s="11" t="s">
        <v>392</v>
      </c>
      <c r="G480" s="11" t="s">
        <v>1792</v>
      </c>
      <c r="H480" s="11" t="s">
        <v>1793</v>
      </c>
      <c r="I480" s="11" t="s">
        <v>1794</v>
      </c>
      <c r="J480" s="11" t="s">
        <v>1795</v>
      </c>
      <c r="K480" s="9" t="s">
        <v>391</v>
      </c>
    </row>
    <row r="481" customFormat="false" ht="46.25" hidden="false" customHeight="false" outlineLevel="0" collapsed="false">
      <c r="A481" s="9" t="s">
        <v>18</v>
      </c>
      <c r="B481" s="9" t="s">
        <v>20</v>
      </c>
      <c r="C481" s="9" t="s">
        <v>106</v>
      </c>
      <c r="D481" s="9" t="s">
        <v>107</v>
      </c>
      <c r="E481" s="9" t="s">
        <v>386</v>
      </c>
      <c r="F481" s="11" t="s">
        <v>392</v>
      </c>
      <c r="G481" s="11" t="s">
        <v>1796</v>
      </c>
      <c r="H481" s="11" t="s">
        <v>1797</v>
      </c>
      <c r="I481" s="11" t="s">
        <v>1798</v>
      </c>
      <c r="J481" s="11" t="s">
        <v>1799</v>
      </c>
      <c r="K481" s="9" t="s">
        <v>391</v>
      </c>
    </row>
    <row r="482" customFormat="false" ht="57.45" hidden="false" customHeight="false" outlineLevel="0" collapsed="false">
      <c r="A482" s="9" t="s">
        <v>18</v>
      </c>
      <c r="B482" s="9" t="s">
        <v>20</v>
      </c>
      <c r="C482" s="9" t="s">
        <v>309</v>
      </c>
      <c r="D482" s="9" t="s">
        <v>310</v>
      </c>
      <c r="E482" s="9" t="s">
        <v>386</v>
      </c>
      <c r="F482" s="11" t="s">
        <v>387</v>
      </c>
      <c r="G482" s="11" t="s">
        <v>1800</v>
      </c>
      <c r="H482" s="11" t="s">
        <v>1801</v>
      </c>
      <c r="I482" s="11" t="s">
        <v>1802</v>
      </c>
      <c r="J482" s="11" t="s">
        <v>1803</v>
      </c>
      <c r="K482" s="9" t="s">
        <v>391</v>
      </c>
    </row>
    <row r="483" customFormat="false" ht="35.05" hidden="false" customHeight="false" outlineLevel="0" collapsed="false">
      <c r="A483" s="9" t="s">
        <v>18</v>
      </c>
      <c r="B483" s="9" t="s">
        <v>20</v>
      </c>
      <c r="C483" s="9" t="s">
        <v>309</v>
      </c>
      <c r="D483" s="9" t="s">
        <v>310</v>
      </c>
      <c r="E483" s="9" t="s">
        <v>386</v>
      </c>
      <c r="F483" s="11" t="s">
        <v>387</v>
      </c>
      <c r="G483" s="11" t="s">
        <v>1804</v>
      </c>
      <c r="H483" s="11" t="s">
        <v>1805</v>
      </c>
      <c r="I483" s="11" t="s">
        <v>1806</v>
      </c>
      <c r="J483" s="11" t="s">
        <v>1803</v>
      </c>
      <c r="K483" s="9" t="s">
        <v>391</v>
      </c>
    </row>
    <row r="484" customFormat="false" ht="35.05" hidden="false" customHeight="false" outlineLevel="0" collapsed="false">
      <c r="A484" s="9" t="s">
        <v>18</v>
      </c>
      <c r="B484" s="9" t="s">
        <v>20</v>
      </c>
      <c r="C484" s="9" t="s">
        <v>309</v>
      </c>
      <c r="D484" s="9" t="s">
        <v>310</v>
      </c>
      <c r="E484" s="9" t="s">
        <v>386</v>
      </c>
      <c r="F484" s="11" t="s">
        <v>400</v>
      </c>
      <c r="G484" s="11" t="s">
        <v>1807</v>
      </c>
      <c r="H484" s="11" t="s">
        <v>1808</v>
      </c>
      <c r="I484" s="11" t="s">
        <v>1809</v>
      </c>
      <c r="J484" s="11" t="s">
        <v>1810</v>
      </c>
      <c r="K484" s="9" t="s">
        <v>391</v>
      </c>
    </row>
    <row r="485" customFormat="false" ht="35.05" hidden="false" customHeight="false" outlineLevel="0" collapsed="false">
      <c r="A485" s="9" t="s">
        <v>18</v>
      </c>
      <c r="B485" s="9" t="s">
        <v>20</v>
      </c>
      <c r="C485" s="9" t="s">
        <v>309</v>
      </c>
      <c r="D485" s="9" t="s">
        <v>310</v>
      </c>
      <c r="E485" s="9" t="s">
        <v>386</v>
      </c>
      <c r="F485" s="11" t="s">
        <v>392</v>
      </c>
      <c r="G485" s="11" t="s">
        <v>1811</v>
      </c>
      <c r="H485" s="11" t="s">
        <v>1812</v>
      </c>
      <c r="I485" s="11" t="s">
        <v>1813</v>
      </c>
      <c r="J485" s="11" t="s">
        <v>1814</v>
      </c>
      <c r="K485" s="9" t="s">
        <v>391</v>
      </c>
    </row>
    <row r="486" customFormat="false" ht="35.05" hidden="false" customHeight="false" outlineLevel="0" collapsed="false">
      <c r="A486" s="9" t="s">
        <v>18</v>
      </c>
      <c r="B486" s="9" t="s">
        <v>20</v>
      </c>
      <c r="C486" s="9" t="s">
        <v>309</v>
      </c>
      <c r="D486" s="9" t="s">
        <v>310</v>
      </c>
      <c r="E486" s="9" t="s">
        <v>386</v>
      </c>
      <c r="F486" s="11" t="s">
        <v>441</v>
      </c>
      <c r="G486" s="11" t="s">
        <v>1815</v>
      </c>
      <c r="H486" s="11" t="s">
        <v>1816</v>
      </c>
      <c r="I486" s="11" t="s">
        <v>1817</v>
      </c>
      <c r="J486" s="11" t="s">
        <v>1818</v>
      </c>
      <c r="K486" s="9" t="s">
        <v>391</v>
      </c>
    </row>
    <row r="487" customFormat="false" ht="57.45" hidden="false" customHeight="false" outlineLevel="0" collapsed="false">
      <c r="A487" s="9" t="s">
        <v>18</v>
      </c>
      <c r="B487" s="9" t="s">
        <v>20</v>
      </c>
      <c r="C487" s="9" t="s">
        <v>309</v>
      </c>
      <c r="D487" s="9" t="s">
        <v>310</v>
      </c>
      <c r="E487" s="9" t="s">
        <v>386</v>
      </c>
      <c r="F487" s="11" t="s">
        <v>441</v>
      </c>
      <c r="G487" s="11" t="s">
        <v>1819</v>
      </c>
      <c r="H487" s="11" t="s">
        <v>1820</v>
      </c>
      <c r="I487" s="11" t="s">
        <v>1820</v>
      </c>
      <c r="J487" s="11" t="s">
        <v>1821</v>
      </c>
      <c r="K487" s="9" t="s">
        <v>391</v>
      </c>
    </row>
    <row r="488" customFormat="false" ht="57.45" hidden="false" customHeight="false" outlineLevel="0" collapsed="false">
      <c r="A488" s="9" t="s">
        <v>18</v>
      </c>
      <c r="B488" s="9" t="s">
        <v>20</v>
      </c>
      <c r="C488" s="9" t="s">
        <v>309</v>
      </c>
      <c r="D488" s="9" t="s">
        <v>310</v>
      </c>
      <c r="E488" s="9" t="s">
        <v>386</v>
      </c>
      <c r="F488" s="11" t="s">
        <v>715</v>
      </c>
      <c r="G488" s="11" t="s">
        <v>1822</v>
      </c>
      <c r="H488" s="11" t="s">
        <v>1823</v>
      </c>
      <c r="I488" s="11" t="s">
        <v>1824</v>
      </c>
      <c r="J488" s="11" t="s">
        <v>1825</v>
      </c>
      <c r="K488" s="9" t="s">
        <v>391</v>
      </c>
    </row>
    <row r="489" customFormat="false" ht="57.45" hidden="false" customHeight="false" outlineLevel="0" collapsed="false">
      <c r="A489" s="9" t="s">
        <v>18</v>
      </c>
      <c r="B489" s="9" t="s">
        <v>20</v>
      </c>
      <c r="C489" s="9" t="s">
        <v>109</v>
      </c>
      <c r="D489" s="9" t="s">
        <v>110</v>
      </c>
      <c r="E489" s="9" t="s">
        <v>386</v>
      </c>
      <c r="F489" s="11" t="s">
        <v>448</v>
      </c>
      <c r="G489" s="11" t="s">
        <v>1826</v>
      </c>
      <c r="H489" s="11" t="s">
        <v>1827</v>
      </c>
      <c r="I489" s="11" t="s">
        <v>1828</v>
      </c>
      <c r="J489" s="11" t="s">
        <v>1829</v>
      </c>
      <c r="K489" s="9" t="s">
        <v>391</v>
      </c>
    </row>
    <row r="490" customFormat="false" ht="57.45" hidden="false" customHeight="false" outlineLevel="0" collapsed="false">
      <c r="A490" s="9" t="s">
        <v>18</v>
      </c>
      <c r="B490" s="9" t="s">
        <v>20</v>
      </c>
      <c r="C490" s="9" t="s">
        <v>109</v>
      </c>
      <c r="D490" s="9" t="s">
        <v>110</v>
      </c>
      <c r="E490" s="9" t="s">
        <v>386</v>
      </c>
      <c r="F490" s="11" t="s">
        <v>392</v>
      </c>
      <c r="G490" s="11" t="s">
        <v>1830</v>
      </c>
      <c r="H490" s="11" t="s">
        <v>1831</v>
      </c>
      <c r="I490" s="11" t="s">
        <v>1832</v>
      </c>
      <c r="J490" s="11" t="s">
        <v>1833</v>
      </c>
      <c r="K490" s="9" t="s">
        <v>391</v>
      </c>
    </row>
    <row r="491" customFormat="false" ht="57.45" hidden="false" customHeight="false" outlineLevel="0" collapsed="false">
      <c r="A491" s="9" t="s">
        <v>18</v>
      </c>
      <c r="B491" s="9" t="s">
        <v>20</v>
      </c>
      <c r="C491" s="9" t="s">
        <v>109</v>
      </c>
      <c r="D491" s="9" t="s">
        <v>110</v>
      </c>
      <c r="E491" s="9" t="s">
        <v>386</v>
      </c>
      <c r="F491" s="11" t="s">
        <v>767</v>
      </c>
      <c r="G491" s="11" t="s">
        <v>1834</v>
      </c>
      <c r="H491" s="11" t="s">
        <v>1835</v>
      </c>
      <c r="I491" s="11" t="s">
        <v>1836</v>
      </c>
      <c r="J491" s="11" t="s">
        <v>1829</v>
      </c>
      <c r="K491" s="9" t="s">
        <v>391</v>
      </c>
    </row>
    <row r="492" customFormat="false" ht="68.65" hidden="false" customHeight="false" outlineLevel="0" collapsed="false">
      <c r="A492" s="9" t="s">
        <v>18</v>
      </c>
      <c r="B492" s="9" t="s">
        <v>20</v>
      </c>
      <c r="C492" s="9" t="s">
        <v>109</v>
      </c>
      <c r="D492" s="9" t="s">
        <v>110</v>
      </c>
      <c r="E492" s="9" t="s">
        <v>386</v>
      </c>
      <c r="F492" s="11" t="s">
        <v>767</v>
      </c>
      <c r="G492" s="11" t="s">
        <v>1837</v>
      </c>
      <c r="H492" s="11" t="s">
        <v>1838</v>
      </c>
      <c r="I492" s="11" t="s">
        <v>1839</v>
      </c>
      <c r="J492" s="11" t="s">
        <v>1829</v>
      </c>
      <c r="K492" s="9" t="s">
        <v>391</v>
      </c>
    </row>
    <row r="493" customFormat="false" ht="35.05" hidden="false" customHeight="false" outlineLevel="0" collapsed="false">
      <c r="A493" s="9" t="s">
        <v>18</v>
      </c>
      <c r="B493" s="9" t="s">
        <v>20</v>
      </c>
      <c r="C493" s="9" t="s">
        <v>109</v>
      </c>
      <c r="D493" s="9" t="s">
        <v>110</v>
      </c>
      <c r="E493" s="9" t="s">
        <v>386</v>
      </c>
      <c r="F493" s="11" t="s">
        <v>387</v>
      </c>
      <c r="G493" s="11" t="s">
        <v>1840</v>
      </c>
      <c r="H493" s="11" t="s">
        <v>1841</v>
      </c>
      <c r="I493" s="11" t="s">
        <v>1842</v>
      </c>
      <c r="J493" s="11" t="s">
        <v>1843</v>
      </c>
      <c r="K493" s="9" t="s">
        <v>391</v>
      </c>
    </row>
    <row r="494" customFormat="false" ht="46.25" hidden="false" customHeight="false" outlineLevel="0" collapsed="false">
      <c r="A494" s="9" t="s">
        <v>18</v>
      </c>
      <c r="B494" s="9" t="s">
        <v>20</v>
      </c>
      <c r="C494" s="9" t="s">
        <v>109</v>
      </c>
      <c r="D494" s="9" t="s">
        <v>110</v>
      </c>
      <c r="E494" s="9" t="s">
        <v>386</v>
      </c>
      <c r="F494" s="11" t="s">
        <v>387</v>
      </c>
      <c r="G494" s="11" t="s">
        <v>1844</v>
      </c>
      <c r="H494" s="11" t="s">
        <v>1845</v>
      </c>
      <c r="I494" s="11" t="s">
        <v>1845</v>
      </c>
      <c r="J494" s="11" t="s">
        <v>1846</v>
      </c>
      <c r="K494" s="9" t="s">
        <v>391</v>
      </c>
    </row>
    <row r="495" customFormat="false" ht="46.25" hidden="false" customHeight="false" outlineLevel="0" collapsed="false">
      <c r="A495" s="9" t="s">
        <v>18</v>
      </c>
      <c r="B495" s="9" t="s">
        <v>20</v>
      </c>
      <c r="C495" s="9" t="s">
        <v>109</v>
      </c>
      <c r="D495" s="9" t="s">
        <v>110</v>
      </c>
      <c r="E495" s="9" t="s">
        <v>386</v>
      </c>
      <c r="F495" s="11" t="s">
        <v>410</v>
      </c>
      <c r="G495" s="11" t="s">
        <v>1847</v>
      </c>
      <c r="H495" s="11" t="s">
        <v>1848</v>
      </c>
      <c r="I495" s="11" t="s">
        <v>1848</v>
      </c>
      <c r="J495" s="11" t="s">
        <v>1849</v>
      </c>
      <c r="K495" s="9" t="s">
        <v>391</v>
      </c>
    </row>
    <row r="496" customFormat="false" ht="46.25" hidden="false" customHeight="false" outlineLevel="0" collapsed="false">
      <c r="A496" s="9" t="s">
        <v>18</v>
      </c>
      <c r="B496" s="9" t="s">
        <v>20</v>
      </c>
      <c r="C496" s="9" t="s">
        <v>109</v>
      </c>
      <c r="D496" s="9" t="s">
        <v>110</v>
      </c>
      <c r="E496" s="9" t="s">
        <v>386</v>
      </c>
      <c r="F496" s="11" t="s">
        <v>387</v>
      </c>
      <c r="G496" s="11" t="s">
        <v>1850</v>
      </c>
      <c r="H496" s="11" t="s">
        <v>1851</v>
      </c>
      <c r="I496" s="11" t="s">
        <v>1852</v>
      </c>
      <c r="J496" s="11" t="s">
        <v>1853</v>
      </c>
      <c r="K496" s="9" t="s">
        <v>391</v>
      </c>
    </row>
    <row r="497" customFormat="false" ht="57.45" hidden="false" customHeight="false" outlineLevel="0" collapsed="false">
      <c r="A497" s="9" t="s">
        <v>18</v>
      </c>
      <c r="B497" s="9" t="s">
        <v>20</v>
      </c>
      <c r="C497" s="9" t="s">
        <v>109</v>
      </c>
      <c r="D497" s="9" t="s">
        <v>110</v>
      </c>
      <c r="E497" s="9" t="s">
        <v>386</v>
      </c>
      <c r="F497" s="11" t="s">
        <v>410</v>
      </c>
      <c r="G497" s="11" t="s">
        <v>1854</v>
      </c>
      <c r="H497" s="11" t="s">
        <v>1855</v>
      </c>
      <c r="I497" s="11" t="s">
        <v>1855</v>
      </c>
      <c r="J497" s="11" t="s">
        <v>1829</v>
      </c>
      <c r="K497" s="9" t="s">
        <v>391</v>
      </c>
    </row>
    <row r="498" customFormat="false" ht="57.45" hidden="false" customHeight="false" outlineLevel="0" collapsed="false">
      <c r="A498" s="9" t="s">
        <v>18</v>
      </c>
      <c r="B498" s="9" t="s">
        <v>20</v>
      </c>
      <c r="C498" s="9" t="s">
        <v>109</v>
      </c>
      <c r="D498" s="9" t="s">
        <v>110</v>
      </c>
      <c r="E498" s="9" t="s">
        <v>386</v>
      </c>
      <c r="F498" s="11" t="s">
        <v>400</v>
      </c>
      <c r="G498" s="11" t="s">
        <v>1856</v>
      </c>
      <c r="H498" s="11" t="s">
        <v>1857</v>
      </c>
      <c r="I498" s="11" t="s">
        <v>1857</v>
      </c>
      <c r="J498" s="11" t="s">
        <v>1858</v>
      </c>
      <c r="K498" s="9" t="s">
        <v>391</v>
      </c>
    </row>
    <row r="499" customFormat="false" ht="35.05" hidden="false" customHeight="false" outlineLevel="0" collapsed="false">
      <c r="A499" s="9" t="s">
        <v>18</v>
      </c>
      <c r="B499" s="9" t="s">
        <v>20</v>
      </c>
      <c r="C499" s="9" t="s">
        <v>109</v>
      </c>
      <c r="D499" s="9" t="s">
        <v>110</v>
      </c>
      <c r="E499" s="9" t="s">
        <v>1753</v>
      </c>
      <c r="F499" s="11" t="s">
        <v>305</v>
      </c>
      <c r="G499" s="11" t="s">
        <v>1859</v>
      </c>
      <c r="H499" s="11" t="s">
        <v>1860</v>
      </c>
      <c r="I499" s="11" t="s">
        <v>1861</v>
      </c>
      <c r="J499" s="11" t="s">
        <v>1862</v>
      </c>
      <c r="K499" s="9" t="s">
        <v>391</v>
      </c>
    </row>
    <row r="500" customFormat="false" ht="68.65" hidden="false" customHeight="false" outlineLevel="0" collapsed="false">
      <c r="A500" s="9" t="s">
        <v>18</v>
      </c>
      <c r="B500" s="9" t="s">
        <v>20</v>
      </c>
      <c r="C500" s="9" t="s">
        <v>109</v>
      </c>
      <c r="D500" s="9" t="s">
        <v>110</v>
      </c>
      <c r="E500" s="9" t="s">
        <v>465</v>
      </c>
      <c r="F500" s="11" t="s">
        <v>466</v>
      </c>
      <c r="G500" s="11" t="s">
        <v>1863</v>
      </c>
      <c r="H500" s="11" t="s">
        <v>1864</v>
      </c>
      <c r="I500" s="11" t="s">
        <v>1865</v>
      </c>
      <c r="J500" s="11" t="s">
        <v>1866</v>
      </c>
      <c r="K500" s="9" t="s">
        <v>391</v>
      </c>
    </row>
    <row r="501" customFormat="false" ht="35.05" hidden="false" customHeight="false" outlineLevel="0" collapsed="false">
      <c r="A501" s="9" t="s">
        <v>18</v>
      </c>
      <c r="B501" s="9" t="s">
        <v>11</v>
      </c>
      <c r="C501" s="9" t="s">
        <v>112</v>
      </c>
      <c r="D501" s="9" t="s">
        <v>113</v>
      </c>
      <c r="E501" s="9" t="s">
        <v>386</v>
      </c>
      <c r="F501" s="11" t="s">
        <v>722</v>
      </c>
      <c r="G501" s="11" t="s">
        <v>1867</v>
      </c>
      <c r="H501" s="11" t="s">
        <v>1868</v>
      </c>
      <c r="I501" s="11"/>
      <c r="J501" s="11" t="s">
        <v>1869</v>
      </c>
      <c r="K501" s="9" t="s">
        <v>391</v>
      </c>
    </row>
    <row r="502" customFormat="false" ht="35.05" hidden="false" customHeight="false" outlineLevel="0" collapsed="false">
      <c r="A502" s="9" t="s">
        <v>18</v>
      </c>
      <c r="B502" s="9" t="s">
        <v>11</v>
      </c>
      <c r="C502" s="9" t="s">
        <v>112</v>
      </c>
      <c r="D502" s="9" t="s">
        <v>113</v>
      </c>
      <c r="E502" s="9" t="s">
        <v>386</v>
      </c>
      <c r="F502" s="11" t="s">
        <v>1870</v>
      </c>
      <c r="G502" s="11" t="s">
        <v>1871</v>
      </c>
      <c r="H502" s="11" t="s">
        <v>1872</v>
      </c>
      <c r="I502" s="11"/>
      <c r="J502" s="11" t="s">
        <v>1873</v>
      </c>
      <c r="K502" s="9" t="s">
        <v>391</v>
      </c>
    </row>
    <row r="503" customFormat="false" ht="46.25" hidden="false" customHeight="false" outlineLevel="0" collapsed="false">
      <c r="A503" s="9" t="s">
        <v>18</v>
      </c>
      <c r="B503" s="9" t="s">
        <v>11</v>
      </c>
      <c r="C503" s="9" t="s">
        <v>112</v>
      </c>
      <c r="D503" s="9" t="s">
        <v>113</v>
      </c>
      <c r="E503" s="9" t="s">
        <v>386</v>
      </c>
      <c r="F503" s="11" t="s">
        <v>419</v>
      </c>
      <c r="G503" s="11" t="s">
        <v>1874</v>
      </c>
      <c r="H503" s="11" t="s">
        <v>1875</v>
      </c>
      <c r="I503" s="11"/>
      <c r="J503" s="11" t="s">
        <v>1876</v>
      </c>
      <c r="K503" s="9" t="s">
        <v>391</v>
      </c>
    </row>
    <row r="504" customFormat="false" ht="35.05" hidden="false" customHeight="false" outlineLevel="0" collapsed="false">
      <c r="A504" s="9" t="s">
        <v>18</v>
      </c>
      <c r="B504" s="9" t="s">
        <v>11</v>
      </c>
      <c r="C504" s="9" t="s">
        <v>112</v>
      </c>
      <c r="D504" s="9" t="s">
        <v>113</v>
      </c>
      <c r="E504" s="9" t="s">
        <v>386</v>
      </c>
      <c r="F504" s="11" t="s">
        <v>767</v>
      </c>
      <c r="G504" s="11" t="s">
        <v>1877</v>
      </c>
      <c r="H504" s="11" t="s">
        <v>1878</v>
      </c>
      <c r="I504" s="11"/>
      <c r="J504" s="11" t="s">
        <v>1862</v>
      </c>
      <c r="K504" s="9" t="s">
        <v>391</v>
      </c>
    </row>
    <row r="505" customFormat="false" ht="46.25" hidden="false" customHeight="false" outlineLevel="0" collapsed="false">
      <c r="A505" s="9" t="s">
        <v>18</v>
      </c>
      <c r="B505" s="9" t="s">
        <v>11</v>
      </c>
      <c r="C505" s="9" t="s">
        <v>112</v>
      </c>
      <c r="D505" s="9" t="s">
        <v>113</v>
      </c>
      <c r="E505" s="9" t="s">
        <v>386</v>
      </c>
      <c r="F505" s="11" t="s">
        <v>767</v>
      </c>
      <c r="G505" s="11" t="s">
        <v>1879</v>
      </c>
      <c r="H505" s="11" t="s">
        <v>1880</v>
      </c>
      <c r="I505" s="11"/>
      <c r="J505" s="11" t="s">
        <v>1876</v>
      </c>
      <c r="K505" s="9" t="s">
        <v>391</v>
      </c>
    </row>
    <row r="506" customFormat="false" ht="46.25" hidden="false" customHeight="false" outlineLevel="0" collapsed="false">
      <c r="A506" s="9" t="s">
        <v>18</v>
      </c>
      <c r="B506" s="9" t="s">
        <v>11</v>
      </c>
      <c r="C506" s="9" t="s">
        <v>112</v>
      </c>
      <c r="D506" s="9" t="s">
        <v>113</v>
      </c>
      <c r="E506" s="9" t="s">
        <v>386</v>
      </c>
      <c r="F506" s="11" t="s">
        <v>1881</v>
      </c>
      <c r="G506" s="11" t="s">
        <v>1882</v>
      </c>
      <c r="H506" s="11" t="s">
        <v>1883</v>
      </c>
      <c r="I506" s="11"/>
      <c r="J506" s="11" t="s">
        <v>1884</v>
      </c>
      <c r="K506" s="9" t="s">
        <v>391</v>
      </c>
    </row>
    <row r="507" customFormat="false" ht="35.05" hidden="false" customHeight="false" outlineLevel="0" collapsed="false">
      <c r="A507" s="9" t="s">
        <v>18</v>
      </c>
      <c r="B507" s="9" t="s">
        <v>11</v>
      </c>
      <c r="C507" s="9" t="s">
        <v>112</v>
      </c>
      <c r="D507" s="9" t="s">
        <v>113</v>
      </c>
      <c r="E507" s="9" t="s">
        <v>386</v>
      </c>
      <c r="F507" s="11" t="s">
        <v>400</v>
      </c>
      <c r="G507" s="11" t="s">
        <v>1885</v>
      </c>
      <c r="H507" s="11" t="s">
        <v>1886</v>
      </c>
      <c r="I507" s="11"/>
      <c r="J507" s="11" t="s">
        <v>1887</v>
      </c>
      <c r="K507" s="9" t="s">
        <v>391</v>
      </c>
    </row>
    <row r="508" customFormat="false" ht="35.05" hidden="false" customHeight="false" outlineLevel="0" collapsed="false">
      <c r="A508" s="9" t="s">
        <v>18</v>
      </c>
      <c r="B508" s="9" t="s">
        <v>11</v>
      </c>
      <c r="C508" s="9" t="s">
        <v>112</v>
      </c>
      <c r="D508" s="9" t="s">
        <v>113</v>
      </c>
      <c r="E508" s="9" t="s">
        <v>386</v>
      </c>
      <c r="F508" s="11" t="s">
        <v>410</v>
      </c>
      <c r="G508" s="11" t="s">
        <v>1888</v>
      </c>
      <c r="H508" s="11" t="s">
        <v>1889</v>
      </c>
      <c r="I508" s="11"/>
      <c r="J508" s="11" t="s">
        <v>1890</v>
      </c>
      <c r="K508" s="9" t="s">
        <v>391</v>
      </c>
    </row>
    <row r="509" customFormat="false" ht="35.05" hidden="false" customHeight="false" outlineLevel="0" collapsed="false">
      <c r="A509" s="9" t="s">
        <v>18</v>
      </c>
      <c r="B509" s="9" t="s">
        <v>11</v>
      </c>
      <c r="C509" s="9" t="s">
        <v>112</v>
      </c>
      <c r="D509" s="9" t="s">
        <v>113</v>
      </c>
      <c r="E509" s="9" t="s">
        <v>386</v>
      </c>
      <c r="F509" s="11" t="s">
        <v>722</v>
      </c>
      <c r="G509" s="11" t="s">
        <v>1891</v>
      </c>
      <c r="H509" s="11" t="s">
        <v>1892</v>
      </c>
      <c r="I509" s="11"/>
      <c r="J509" s="11" t="s">
        <v>1869</v>
      </c>
      <c r="K509" s="9" t="s">
        <v>391</v>
      </c>
    </row>
    <row r="510" customFormat="false" ht="35.05" hidden="false" customHeight="false" outlineLevel="0" collapsed="false">
      <c r="A510" s="9" t="s">
        <v>18</v>
      </c>
      <c r="B510" s="9" t="s">
        <v>11</v>
      </c>
      <c r="C510" s="9" t="s">
        <v>112</v>
      </c>
      <c r="D510" s="9" t="s">
        <v>113</v>
      </c>
      <c r="E510" s="9" t="s">
        <v>386</v>
      </c>
      <c r="F510" s="11" t="s">
        <v>448</v>
      </c>
      <c r="G510" s="11" t="s">
        <v>1893</v>
      </c>
      <c r="H510" s="11" t="s">
        <v>1894</v>
      </c>
      <c r="I510" s="11"/>
      <c r="J510" s="11" t="s">
        <v>1895</v>
      </c>
      <c r="K510" s="9" t="s">
        <v>391</v>
      </c>
    </row>
    <row r="511" customFormat="false" ht="35.05" hidden="false" customHeight="false" outlineLevel="0" collapsed="false">
      <c r="A511" s="9" t="s">
        <v>18</v>
      </c>
      <c r="B511" s="9" t="s">
        <v>11</v>
      </c>
      <c r="C511" s="9" t="s">
        <v>112</v>
      </c>
      <c r="D511" s="9" t="s">
        <v>113</v>
      </c>
      <c r="E511" s="9" t="s">
        <v>386</v>
      </c>
      <c r="F511" s="11" t="s">
        <v>410</v>
      </c>
      <c r="G511" s="11" t="s">
        <v>1896</v>
      </c>
      <c r="H511" s="11" t="s">
        <v>1897</v>
      </c>
      <c r="I511" s="11"/>
      <c r="J511" s="11" t="s">
        <v>1898</v>
      </c>
      <c r="K511" s="9" t="s">
        <v>391</v>
      </c>
    </row>
    <row r="512" customFormat="false" ht="35.05" hidden="false" customHeight="false" outlineLevel="0" collapsed="false">
      <c r="A512" s="9" t="s">
        <v>18</v>
      </c>
      <c r="B512" s="9" t="s">
        <v>11</v>
      </c>
      <c r="C512" s="9" t="s">
        <v>112</v>
      </c>
      <c r="D512" s="9" t="s">
        <v>113</v>
      </c>
      <c r="E512" s="9" t="s">
        <v>386</v>
      </c>
      <c r="F512" s="11" t="s">
        <v>410</v>
      </c>
      <c r="G512" s="11" t="s">
        <v>1899</v>
      </c>
      <c r="H512" s="11" t="s">
        <v>1900</v>
      </c>
      <c r="I512" s="11"/>
      <c r="J512" s="11" t="s">
        <v>1901</v>
      </c>
      <c r="K512" s="9" t="s">
        <v>391</v>
      </c>
    </row>
    <row r="513" customFormat="false" ht="46.25" hidden="false" customHeight="false" outlineLevel="0" collapsed="false">
      <c r="A513" s="9" t="s">
        <v>18</v>
      </c>
      <c r="B513" s="9" t="s">
        <v>11</v>
      </c>
      <c r="C513" s="9" t="s">
        <v>112</v>
      </c>
      <c r="D513" s="9" t="s">
        <v>113</v>
      </c>
      <c r="E513" s="9" t="s">
        <v>386</v>
      </c>
      <c r="F513" s="11" t="s">
        <v>448</v>
      </c>
      <c r="G513" s="11" t="s">
        <v>1902</v>
      </c>
      <c r="H513" s="11" t="s">
        <v>1903</v>
      </c>
      <c r="I513" s="11"/>
      <c r="J513" s="11" t="s">
        <v>1904</v>
      </c>
      <c r="K513" s="9" t="s">
        <v>391</v>
      </c>
    </row>
    <row r="514" customFormat="false" ht="57.45" hidden="false" customHeight="false" outlineLevel="0" collapsed="false">
      <c r="A514" s="9" t="s">
        <v>18</v>
      </c>
      <c r="B514" s="9" t="s">
        <v>11</v>
      </c>
      <c r="C514" s="9" t="s">
        <v>112</v>
      </c>
      <c r="D514" s="9" t="s">
        <v>113</v>
      </c>
      <c r="E514" s="9" t="s">
        <v>386</v>
      </c>
      <c r="F514" s="11" t="s">
        <v>1905</v>
      </c>
      <c r="G514" s="11" t="s">
        <v>1906</v>
      </c>
      <c r="H514" s="11" t="s">
        <v>1907</v>
      </c>
      <c r="I514" s="11"/>
      <c r="J514" s="11" t="s">
        <v>1908</v>
      </c>
      <c r="K514" s="9" t="s">
        <v>391</v>
      </c>
    </row>
    <row r="515" customFormat="false" ht="35.05" hidden="false" customHeight="false" outlineLevel="0" collapsed="false">
      <c r="A515" s="9" t="s">
        <v>18</v>
      </c>
      <c r="B515" s="9" t="s">
        <v>11</v>
      </c>
      <c r="C515" s="9" t="s">
        <v>112</v>
      </c>
      <c r="D515" s="9" t="s">
        <v>113</v>
      </c>
      <c r="E515" s="9" t="s">
        <v>386</v>
      </c>
      <c r="F515" s="11" t="s">
        <v>1909</v>
      </c>
      <c r="G515" s="11" t="s">
        <v>1910</v>
      </c>
      <c r="H515" s="11" t="s">
        <v>1911</v>
      </c>
      <c r="I515" s="11"/>
      <c r="J515" s="11" t="s">
        <v>1912</v>
      </c>
      <c r="K515" s="9" t="s">
        <v>391</v>
      </c>
    </row>
    <row r="516" customFormat="false" ht="46.25" hidden="false" customHeight="false" outlineLevel="0" collapsed="false">
      <c r="A516" s="9" t="s">
        <v>18</v>
      </c>
      <c r="B516" s="9" t="s">
        <v>11</v>
      </c>
      <c r="C516" s="9" t="s">
        <v>112</v>
      </c>
      <c r="D516" s="9" t="s">
        <v>113</v>
      </c>
      <c r="E516" s="9" t="s">
        <v>386</v>
      </c>
      <c r="F516" s="11" t="s">
        <v>419</v>
      </c>
      <c r="G516" s="11" t="s">
        <v>1913</v>
      </c>
      <c r="H516" s="11" t="s">
        <v>1914</v>
      </c>
      <c r="I516" s="11"/>
      <c r="J516" s="11" t="s">
        <v>1915</v>
      </c>
      <c r="K516" s="9" t="s">
        <v>391</v>
      </c>
    </row>
    <row r="517" customFormat="false" ht="35.05" hidden="false" customHeight="false" outlineLevel="0" collapsed="false">
      <c r="A517" s="9" t="s">
        <v>18</v>
      </c>
      <c r="B517" s="9" t="s">
        <v>11</v>
      </c>
      <c r="C517" s="9" t="s">
        <v>320</v>
      </c>
      <c r="D517" s="9" t="s">
        <v>321</v>
      </c>
      <c r="E517" s="9" t="s">
        <v>386</v>
      </c>
      <c r="F517" s="11" t="s">
        <v>722</v>
      </c>
      <c r="G517" s="11" t="s">
        <v>1916</v>
      </c>
      <c r="H517" s="11" t="s">
        <v>1917</v>
      </c>
      <c r="I517" s="11" t="s">
        <v>1918</v>
      </c>
      <c r="J517" s="11" t="s">
        <v>1919</v>
      </c>
      <c r="K517" s="9" t="s">
        <v>391</v>
      </c>
    </row>
    <row r="518" customFormat="false" ht="46.25" hidden="false" customHeight="false" outlineLevel="0" collapsed="false">
      <c r="A518" s="9" t="s">
        <v>18</v>
      </c>
      <c r="B518" s="9" t="s">
        <v>11</v>
      </c>
      <c r="C518" s="9" t="s">
        <v>320</v>
      </c>
      <c r="D518" s="9" t="s">
        <v>321</v>
      </c>
      <c r="E518" s="9" t="s">
        <v>386</v>
      </c>
      <c r="F518" s="11" t="s">
        <v>410</v>
      </c>
      <c r="G518" s="11" t="s">
        <v>1920</v>
      </c>
      <c r="H518" s="11" t="s">
        <v>1921</v>
      </c>
      <c r="I518" s="11" t="s">
        <v>1922</v>
      </c>
      <c r="J518" s="11" t="s">
        <v>1923</v>
      </c>
      <c r="K518" s="9" t="s">
        <v>391</v>
      </c>
    </row>
    <row r="519" customFormat="false" ht="46.25" hidden="false" customHeight="false" outlineLevel="0" collapsed="false">
      <c r="A519" s="9" t="s">
        <v>18</v>
      </c>
      <c r="B519" s="9" t="s">
        <v>11</v>
      </c>
      <c r="C519" s="9" t="s">
        <v>320</v>
      </c>
      <c r="D519" s="9" t="s">
        <v>321</v>
      </c>
      <c r="E519" s="9" t="s">
        <v>386</v>
      </c>
      <c r="F519" s="11" t="s">
        <v>419</v>
      </c>
      <c r="G519" s="11" t="s">
        <v>1924</v>
      </c>
      <c r="H519" s="11" t="s">
        <v>1925</v>
      </c>
      <c r="I519" s="11" t="s">
        <v>1926</v>
      </c>
      <c r="J519" s="11" t="s">
        <v>1927</v>
      </c>
      <c r="K519" s="9" t="s">
        <v>391</v>
      </c>
    </row>
    <row r="520" customFormat="false" ht="57.45" hidden="false" customHeight="false" outlineLevel="0" collapsed="false">
      <c r="A520" s="9" t="s">
        <v>18</v>
      </c>
      <c r="B520" s="9" t="s">
        <v>11</v>
      </c>
      <c r="C520" s="9" t="s">
        <v>320</v>
      </c>
      <c r="D520" s="9" t="s">
        <v>321</v>
      </c>
      <c r="E520" s="9" t="s">
        <v>386</v>
      </c>
      <c r="F520" s="11" t="s">
        <v>1928</v>
      </c>
      <c r="G520" s="11" t="s">
        <v>1929</v>
      </c>
      <c r="H520" s="11" t="s">
        <v>1930</v>
      </c>
      <c r="I520" s="11" t="s">
        <v>1931</v>
      </c>
      <c r="J520" s="11" t="s">
        <v>1932</v>
      </c>
      <c r="K520" s="9" t="s">
        <v>391</v>
      </c>
    </row>
    <row r="521" customFormat="false" ht="35.05" hidden="false" customHeight="false" outlineLevel="0" collapsed="false">
      <c r="A521" s="9" t="s">
        <v>18</v>
      </c>
      <c r="B521" s="9" t="s">
        <v>11</v>
      </c>
      <c r="C521" s="9" t="s">
        <v>320</v>
      </c>
      <c r="D521" s="9" t="s">
        <v>321</v>
      </c>
      <c r="E521" s="9" t="s">
        <v>386</v>
      </c>
      <c r="F521" s="11" t="s">
        <v>419</v>
      </c>
      <c r="G521" s="11" t="s">
        <v>1933</v>
      </c>
      <c r="H521" s="11" t="s">
        <v>1934</v>
      </c>
      <c r="I521" s="11" t="s">
        <v>1935</v>
      </c>
      <c r="J521" s="11" t="s">
        <v>1936</v>
      </c>
      <c r="K521" s="9" t="s">
        <v>391</v>
      </c>
    </row>
    <row r="522" customFormat="false" ht="35.05" hidden="false" customHeight="false" outlineLevel="0" collapsed="false">
      <c r="A522" s="9" t="s">
        <v>18</v>
      </c>
      <c r="B522" s="9" t="s">
        <v>11</v>
      </c>
      <c r="C522" s="9" t="s">
        <v>320</v>
      </c>
      <c r="D522" s="9" t="s">
        <v>321</v>
      </c>
      <c r="E522" s="9" t="s">
        <v>386</v>
      </c>
      <c r="F522" s="11" t="s">
        <v>767</v>
      </c>
      <c r="G522" s="11" t="s">
        <v>1937</v>
      </c>
      <c r="H522" s="11" t="s">
        <v>1938</v>
      </c>
      <c r="I522" s="11" t="s">
        <v>1939</v>
      </c>
      <c r="J522" s="11" t="s">
        <v>1940</v>
      </c>
      <c r="K522" s="9" t="s">
        <v>391</v>
      </c>
    </row>
    <row r="523" customFormat="false" ht="46.25" hidden="false" customHeight="false" outlineLevel="0" collapsed="false">
      <c r="A523" s="9" t="s">
        <v>18</v>
      </c>
      <c r="B523" s="9" t="s">
        <v>11</v>
      </c>
      <c r="C523" s="9" t="s">
        <v>320</v>
      </c>
      <c r="D523" s="9" t="s">
        <v>321</v>
      </c>
      <c r="E523" s="9" t="s">
        <v>386</v>
      </c>
      <c r="F523" s="11" t="s">
        <v>767</v>
      </c>
      <c r="G523" s="11" t="s">
        <v>1941</v>
      </c>
      <c r="H523" s="11" t="s">
        <v>1942</v>
      </c>
      <c r="I523" s="11" t="s">
        <v>1943</v>
      </c>
      <c r="J523" s="11" t="s">
        <v>1944</v>
      </c>
      <c r="K523" s="9" t="s">
        <v>391</v>
      </c>
    </row>
    <row r="524" customFormat="false" ht="46.25" hidden="false" customHeight="false" outlineLevel="0" collapsed="false">
      <c r="A524" s="9" t="s">
        <v>18</v>
      </c>
      <c r="B524" s="9" t="s">
        <v>11</v>
      </c>
      <c r="C524" s="9" t="s">
        <v>320</v>
      </c>
      <c r="D524" s="9" t="s">
        <v>321</v>
      </c>
      <c r="E524" s="9" t="s">
        <v>386</v>
      </c>
      <c r="F524" s="11" t="s">
        <v>767</v>
      </c>
      <c r="G524" s="11" t="s">
        <v>1945</v>
      </c>
      <c r="H524" s="11" t="s">
        <v>1946</v>
      </c>
      <c r="I524" s="11" t="s">
        <v>1947</v>
      </c>
      <c r="J524" s="11" t="s">
        <v>1948</v>
      </c>
      <c r="K524" s="9" t="s">
        <v>391</v>
      </c>
    </row>
    <row r="525" customFormat="false" ht="46.25" hidden="false" customHeight="false" outlineLevel="0" collapsed="false">
      <c r="A525" s="9" t="s">
        <v>18</v>
      </c>
      <c r="B525" s="9" t="s">
        <v>11</v>
      </c>
      <c r="C525" s="9" t="s">
        <v>320</v>
      </c>
      <c r="D525" s="9" t="s">
        <v>321</v>
      </c>
      <c r="E525" s="9" t="s">
        <v>386</v>
      </c>
      <c r="F525" s="11" t="s">
        <v>767</v>
      </c>
      <c r="G525" s="11" t="s">
        <v>1949</v>
      </c>
      <c r="H525" s="11" t="s">
        <v>1950</v>
      </c>
      <c r="I525" s="11" t="s">
        <v>1951</v>
      </c>
      <c r="J525" s="11" t="s">
        <v>1952</v>
      </c>
      <c r="K525" s="9" t="s">
        <v>391</v>
      </c>
    </row>
    <row r="526" customFormat="false" ht="35.05" hidden="false" customHeight="false" outlineLevel="0" collapsed="false">
      <c r="A526" s="9" t="s">
        <v>18</v>
      </c>
      <c r="B526" s="9" t="s">
        <v>11</v>
      </c>
      <c r="C526" s="9" t="s">
        <v>320</v>
      </c>
      <c r="D526" s="9" t="s">
        <v>321</v>
      </c>
      <c r="E526" s="9" t="s">
        <v>386</v>
      </c>
      <c r="F526" s="11" t="s">
        <v>767</v>
      </c>
      <c r="G526" s="11" t="s">
        <v>1953</v>
      </c>
      <c r="H526" s="11" t="s">
        <v>1954</v>
      </c>
      <c r="I526" s="11" t="s">
        <v>1955</v>
      </c>
      <c r="J526" s="11" t="s">
        <v>1956</v>
      </c>
      <c r="K526" s="9" t="s">
        <v>391</v>
      </c>
    </row>
    <row r="527" customFormat="false" ht="35.05" hidden="false" customHeight="false" outlineLevel="0" collapsed="false">
      <c r="A527" s="9" t="s">
        <v>18</v>
      </c>
      <c r="B527" s="9" t="s">
        <v>11</v>
      </c>
      <c r="C527" s="9" t="s">
        <v>320</v>
      </c>
      <c r="D527" s="9" t="s">
        <v>321</v>
      </c>
      <c r="E527" s="9" t="s">
        <v>386</v>
      </c>
      <c r="F527" s="11" t="s">
        <v>722</v>
      </c>
      <c r="G527" s="11" t="s">
        <v>1957</v>
      </c>
      <c r="H527" s="11" t="s">
        <v>1958</v>
      </c>
      <c r="I527" s="11" t="s">
        <v>1959</v>
      </c>
      <c r="J527" s="11" t="s">
        <v>1960</v>
      </c>
      <c r="K527" s="9" t="s">
        <v>391</v>
      </c>
    </row>
    <row r="528" customFormat="false" ht="46.25" hidden="false" customHeight="false" outlineLevel="0" collapsed="false">
      <c r="A528" s="9" t="s">
        <v>18</v>
      </c>
      <c r="B528" s="9" t="s">
        <v>11</v>
      </c>
      <c r="C528" s="9" t="s">
        <v>320</v>
      </c>
      <c r="D528" s="9" t="s">
        <v>321</v>
      </c>
      <c r="E528" s="9" t="s">
        <v>386</v>
      </c>
      <c r="F528" s="11" t="s">
        <v>387</v>
      </c>
      <c r="G528" s="11" t="s">
        <v>1961</v>
      </c>
      <c r="H528" s="11" t="s">
        <v>1962</v>
      </c>
      <c r="I528" s="11" t="s">
        <v>1963</v>
      </c>
      <c r="J528" s="11" t="s">
        <v>1964</v>
      </c>
      <c r="K528" s="9" t="s">
        <v>391</v>
      </c>
    </row>
    <row r="529" customFormat="false" ht="46.25" hidden="false" customHeight="false" outlineLevel="0" collapsed="false">
      <c r="A529" s="9" t="s">
        <v>18</v>
      </c>
      <c r="B529" s="9" t="s">
        <v>11</v>
      </c>
      <c r="C529" s="9" t="s">
        <v>320</v>
      </c>
      <c r="D529" s="9" t="s">
        <v>321</v>
      </c>
      <c r="E529" s="9" t="s">
        <v>386</v>
      </c>
      <c r="F529" s="11" t="s">
        <v>387</v>
      </c>
      <c r="G529" s="11" t="s">
        <v>1965</v>
      </c>
      <c r="H529" s="11" t="s">
        <v>1966</v>
      </c>
      <c r="I529" s="11" t="s">
        <v>1967</v>
      </c>
      <c r="J529" s="11" t="s">
        <v>1968</v>
      </c>
      <c r="K529" s="9" t="s">
        <v>391</v>
      </c>
    </row>
    <row r="530" customFormat="false" ht="68.65" hidden="false" customHeight="false" outlineLevel="0" collapsed="false">
      <c r="A530" s="9" t="s">
        <v>18</v>
      </c>
      <c r="B530" s="9" t="s">
        <v>11</v>
      </c>
      <c r="C530" s="9" t="s">
        <v>320</v>
      </c>
      <c r="D530" s="9" t="s">
        <v>321</v>
      </c>
      <c r="E530" s="9" t="s">
        <v>386</v>
      </c>
      <c r="F530" s="11" t="s">
        <v>410</v>
      </c>
      <c r="G530" s="11" t="s">
        <v>1969</v>
      </c>
      <c r="H530" s="11" t="s">
        <v>1970</v>
      </c>
      <c r="I530" s="11" t="s">
        <v>1971</v>
      </c>
      <c r="J530" s="11" t="s">
        <v>1972</v>
      </c>
      <c r="K530" s="9" t="s">
        <v>391</v>
      </c>
    </row>
    <row r="531" customFormat="false" ht="46.25" hidden="false" customHeight="false" outlineLevel="0" collapsed="false">
      <c r="A531" s="9" t="s">
        <v>18</v>
      </c>
      <c r="B531" s="9" t="s">
        <v>11</v>
      </c>
      <c r="C531" s="9" t="s">
        <v>320</v>
      </c>
      <c r="D531" s="9" t="s">
        <v>321</v>
      </c>
      <c r="E531" s="9" t="s">
        <v>386</v>
      </c>
      <c r="F531" s="11" t="s">
        <v>410</v>
      </c>
      <c r="G531" s="11" t="s">
        <v>1973</v>
      </c>
      <c r="H531" s="11" t="s">
        <v>1974</v>
      </c>
      <c r="I531" s="11" t="s">
        <v>1975</v>
      </c>
      <c r="J531" s="11" t="s">
        <v>1976</v>
      </c>
      <c r="K531" s="9" t="s">
        <v>391</v>
      </c>
    </row>
    <row r="532" customFormat="false" ht="57.45" hidden="false" customHeight="false" outlineLevel="0" collapsed="false">
      <c r="A532" s="9" t="s">
        <v>18</v>
      </c>
      <c r="B532" s="9" t="s">
        <v>11</v>
      </c>
      <c r="C532" s="9" t="s">
        <v>320</v>
      </c>
      <c r="D532" s="9" t="s">
        <v>321</v>
      </c>
      <c r="E532" s="9" t="s">
        <v>386</v>
      </c>
      <c r="F532" s="11" t="s">
        <v>1881</v>
      </c>
      <c r="G532" s="11" t="s">
        <v>1977</v>
      </c>
      <c r="H532" s="11" t="s">
        <v>1978</v>
      </c>
      <c r="I532" s="11" t="s">
        <v>1979</v>
      </c>
      <c r="J532" s="11" t="s">
        <v>1980</v>
      </c>
      <c r="K532" s="9" t="s">
        <v>391</v>
      </c>
    </row>
    <row r="533" customFormat="false" ht="57.45" hidden="false" customHeight="false" outlineLevel="0" collapsed="false">
      <c r="A533" s="9" t="s">
        <v>18</v>
      </c>
      <c r="B533" s="9" t="s">
        <v>11</v>
      </c>
      <c r="C533" s="9" t="s">
        <v>320</v>
      </c>
      <c r="D533" s="9" t="s">
        <v>321</v>
      </c>
      <c r="E533" s="9" t="s">
        <v>386</v>
      </c>
      <c r="F533" s="11" t="s">
        <v>410</v>
      </c>
      <c r="G533" s="11" t="s">
        <v>1981</v>
      </c>
      <c r="H533" s="11" t="s">
        <v>1982</v>
      </c>
      <c r="I533" s="11" t="s">
        <v>1983</v>
      </c>
      <c r="J533" s="11" t="s">
        <v>1984</v>
      </c>
      <c r="K533" s="9" t="s">
        <v>391</v>
      </c>
    </row>
    <row r="534" customFormat="false" ht="35.05" hidden="false" customHeight="false" outlineLevel="0" collapsed="false">
      <c r="A534" s="9" t="s">
        <v>18</v>
      </c>
      <c r="B534" s="9" t="s">
        <v>11</v>
      </c>
      <c r="C534" s="9" t="s">
        <v>320</v>
      </c>
      <c r="D534" s="9" t="s">
        <v>321</v>
      </c>
      <c r="E534" s="9" t="s">
        <v>386</v>
      </c>
      <c r="F534" s="11" t="s">
        <v>400</v>
      </c>
      <c r="G534" s="11" t="s">
        <v>1985</v>
      </c>
      <c r="H534" s="11" t="s">
        <v>1986</v>
      </c>
      <c r="I534" s="11" t="s">
        <v>1987</v>
      </c>
      <c r="J534" s="11" t="s">
        <v>1988</v>
      </c>
      <c r="K534" s="9" t="s">
        <v>391</v>
      </c>
    </row>
    <row r="535" customFormat="false" ht="46.25" hidden="false" customHeight="false" outlineLevel="0" collapsed="false">
      <c r="A535" s="9" t="s">
        <v>21</v>
      </c>
      <c r="B535" s="9" t="s">
        <v>11</v>
      </c>
      <c r="C535" s="9" t="s">
        <v>118</v>
      </c>
      <c r="D535" s="9" t="s">
        <v>119</v>
      </c>
      <c r="E535" s="9" t="s">
        <v>386</v>
      </c>
      <c r="F535" s="11" t="s">
        <v>387</v>
      </c>
      <c r="G535" s="11" t="s">
        <v>1989</v>
      </c>
      <c r="H535" s="11" t="s">
        <v>1990</v>
      </c>
      <c r="I535" s="11"/>
      <c r="J535" s="11" t="s">
        <v>1991</v>
      </c>
      <c r="K535" s="9" t="s">
        <v>391</v>
      </c>
    </row>
    <row r="536" customFormat="false" ht="35.05" hidden="false" customHeight="false" outlineLevel="0" collapsed="false">
      <c r="A536" s="9" t="s">
        <v>21</v>
      </c>
      <c r="B536" s="9" t="s">
        <v>11</v>
      </c>
      <c r="C536" s="9" t="s">
        <v>118</v>
      </c>
      <c r="D536" s="9" t="s">
        <v>119</v>
      </c>
      <c r="E536" s="9" t="s">
        <v>386</v>
      </c>
      <c r="F536" s="11" t="s">
        <v>400</v>
      </c>
      <c r="G536" s="11" t="s">
        <v>1992</v>
      </c>
      <c r="H536" s="11" t="s">
        <v>1993</v>
      </c>
      <c r="I536" s="11"/>
      <c r="J536" s="11" t="s">
        <v>1994</v>
      </c>
      <c r="K536" s="9" t="s">
        <v>391</v>
      </c>
    </row>
    <row r="537" customFormat="false" ht="23.85" hidden="false" customHeight="false" outlineLevel="0" collapsed="false">
      <c r="A537" s="9" t="s">
        <v>21</v>
      </c>
      <c r="B537" s="9" t="s">
        <v>11</v>
      </c>
      <c r="C537" s="9" t="s">
        <v>118</v>
      </c>
      <c r="D537" s="9" t="s">
        <v>119</v>
      </c>
      <c r="E537" s="9" t="s">
        <v>386</v>
      </c>
      <c r="F537" s="11" t="s">
        <v>400</v>
      </c>
      <c r="G537" s="11" t="s">
        <v>1995</v>
      </c>
      <c r="H537" s="11" t="s">
        <v>1996</v>
      </c>
      <c r="I537" s="11"/>
      <c r="J537" s="11" t="s">
        <v>1997</v>
      </c>
      <c r="K537" s="9" t="s">
        <v>391</v>
      </c>
    </row>
    <row r="538" customFormat="false" ht="46.25" hidden="false" customHeight="false" outlineLevel="0" collapsed="false">
      <c r="A538" s="9" t="s">
        <v>21</v>
      </c>
      <c r="B538" s="9" t="s">
        <v>11</v>
      </c>
      <c r="C538" s="9" t="s">
        <v>118</v>
      </c>
      <c r="D538" s="9" t="s">
        <v>119</v>
      </c>
      <c r="E538" s="9" t="s">
        <v>386</v>
      </c>
      <c r="F538" s="11" t="s">
        <v>400</v>
      </c>
      <c r="G538" s="11" t="s">
        <v>1998</v>
      </c>
      <c r="H538" s="11" t="s">
        <v>1999</v>
      </c>
      <c r="I538" s="11"/>
      <c r="J538" s="11" t="s">
        <v>2000</v>
      </c>
      <c r="K538" s="9" t="s">
        <v>391</v>
      </c>
    </row>
    <row r="539" customFormat="false" ht="35.05" hidden="false" customHeight="false" outlineLevel="0" collapsed="false">
      <c r="A539" s="9" t="s">
        <v>21</v>
      </c>
      <c r="B539" s="9" t="s">
        <v>11</v>
      </c>
      <c r="C539" s="9" t="s">
        <v>118</v>
      </c>
      <c r="D539" s="9" t="s">
        <v>119</v>
      </c>
      <c r="E539" s="9" t="s">
        <v>386</v>
      </c>
      <c r="F539" s="11" t="s">
        <v>722</v>
      </c>
      <c r="G539" s="11" t="s">
        <v>2001</v>
      </c>
      <c r="H539" s="11" t="s">
        <v>2002</v>
      </c>
      <c r="I539" s="11"/>
      <c r="J539" s="11" t="s">
        <v>2003</v>
      </c>
      <c r="K539" s="9" t="s">
        <v>391</v>
      </c>
    </row>
    <row r="540" customFormat="false" ht="23.85" hidden="false" customHeight="false" outlineLevel="0" collapsed="false">
      <c r="A540" s="9" t="s">
        <v>21</v>
      </c>
      <c r="B540" s="9" t="s">
        <v>11</v>
      </c>
      <c r="C540" s="9" t="s">
        <v>118</v>
      </c>
      <c r="D540" s="9" t="s">
        <v>119</v>
      </c>
      <c r="E540" s="9" t="s">
        <v>386</v>
      </c>
      <c r="F540" s="11" t="s">
        <v>767</v>
      </c>
      <c r="G540" s="11" t="s">
        <v>2004</v>
      </c>
      <c r="H540" s="11" t="s">
        <v>2005</v>
      </c>
      <c r="I540" s="11"/>
      <c r="J540" s="11" t="s">
        <v>2006</v>
      </c>
      <c r="K540" s="9" t="s">
        <v>391</v>
      </c>
    </row>
    <row r="541" customFormat="false" ht="23.85" hidden="false" customHeight="false" outlineLevel="0" collapsed="false">
      <c r="A541" s="9" t="s">
        <v>21</v>
      </c>
      <c r="B541" s="9" t="s">
        <v>11</v>
      </c>
      <c r="C541" s="9" t="s">
        <v>118</v>
      </c>
      <c r="D541" s="9" t="s">
        <v>119</v>
      </c>
      <c r="E541" s="9" t="s">
        <v>386</v>
      </c>
      <c r="F541" s="11" t="s">
        <v>767</v>
      </c>
      <c r="G541" s="11" t="s">
        <v>2007</v>
      </c>
      <c r="H541" s="11" t="s">
        <v>2008</v>
      </c>
      <c r="I541" s="11"/>
      <c r="J541" s="11" t="s">
        <v>2006</v>
      </c>
      <c r="K541" s="9" t="s">
        <v>391</v>
      </c>
    </row>
    <row r="542" customFormat="false" ht="35.05" hidden="false" customHeight="false" outlineLevel="0" collapsed="false">
      <c r="A542" s="9" t="s">
        <v>21</v>
      </c>
      <c r="B542" s="9" t="s">
        <v>11</v>
      </c>
      <c r="C542" s="9" t="s">
        <v>118</v>
      </c>
      <c r="D542" s="9" t="s">
        <v>119</v>
      </c>
      <c r="E542" s="9" t="s">
        <v>386</v>
      </c>
      <c r="F542" s="11" t="s">
        <v>767</v>
      </c>
      <c r="G542" s="11" t="s">
        <v>2009</v>
      </c>
      <c r="H542" s="11" t="s">
        <v>2010</v>
      </c>
      <c r="I542" s="11"/>
      <c r="J542" s="11" t="s">
        <v>2011</v>
      </c>
      <c r="K542" s="9" t="s">
        <v>391</v>
      </c>
    </row>
    <row r="543" customFormat="false" ht="35.05" hidden="false" customHeight="false" outlineLevel="0" collapsed="false">
      <c r="A543" s="9" t="s">
        <v>21</v>
      </c>
      <c r="B543" s="9" t="s">
        <v>11</v>
      </c>
      <c r="C543" s="9" t="s">
        <v>118</v>
      </c>
      <c r="D543" s="9" t="s">
        <v>119</v>
      </c>
      <c r="E543" s="9" t="s">
        <v>386</v>
      </c>
      <c r="F543" s="11" t="s">
        <v>767</v>
      </c>
      <c r="G543" s="11" t="s">
        <v>2012</v>
      </c>
      <c r="H543" s="11" t="s">
        <v>2013</v>
      </c>
      <c r="I543" s="11"/>
      <c r="J543" s="11" t="s">
        <v>2014</v>
      </c>
      <c r="K543" s="9" t="s">
        <v>391</v>
      </c>
    </row>
    <row r="544" customFormat="false" ht="46.25" hidden="false" customHeight="false" outlineLevel="0" collapsed="false">
      <c r="A544" s="9" t="s">
        <v>21</v>
      </c>
      <c r="B544" s="9" t="s">
        <v>11</v>
      </c>
      <c r="C544" s="9" t="s">
        <v>118</v>
      </c>
      <c r="D544" s="9" t="s">
        <v>119</v>
      </c>
      <c r="E544" s="9" t="s">
        <v>386</v>
      </c>
      <c r="F544" s="11" t="s">
        <v>419</v>
      </c>
      <c r="G544" s="11" t="s">
        <v>2015</v>
      </c>
      <c r="H544" s="11" t="s">
        <v>2016</v>
      </c>
      <c r="I544" s="11"/>
      <c r="J544" s="11" t="s">
        <v>1991</v>
      </c>
      <c r="K544" s="9" t="s">
        <v>391</v>
      </c>
    </row>
    <row r="545" customFormat="false" ht="46.25" hidden="false" customHeight="false" outlineLevel="0" collapsed="false">
      <c r="A545" s="9" t="s">
        <v>21</v>
      </c>
      <c r="B545" s="9" t="s">
        <v>11</v>
      </c>
      <c r="C545" s="9" t="s">
        <v>118</v>
      </c>
      <c r="D545" s="9" t="s">
        <v>119</v>
      </c>
      <c r="E545" s="9" t="s">
        <v>386</v>
      </c>
      <c r="F545" s="11" t="s">
        <v>419</v>
      </c>
      <c r="G545" s="11" t="s">
        <v>2017</v>
      </c>
      <c r="H545" s="11" t="s">
        <v>2018</v>
      </c>
      <c r="I545" s="11"/>
      <c r="J545" s="11" t="s">
        <v>2019</v>
      </c>
      <c r="K545" s="9" t="s">
        <v>391</v>
      </c>
    </row>
    <row r="546" customFormat="false" ht="46.25" hidden="false" customHeight="false" outlineLevel="0" collapsed="false">
      <c r="A546" s="9" t="s">
        <v>21</v>
      </c>
      <c r="B546" s="9" t="s">
        <v>11</v>
      </c>
      <c r="C546" s="9" t="s">
        <v>118</v>
      </c>
      <c r="D546" s="9" t="s">
        <v>119</v>
      </c>
      <c r="E546" s="9" t="s">
        <v>386</v>
      </c>
      <c r="F546" s="11" t="s">
        <v>2020</v>
      </c>
      <c r="G546" s="11" t="s">
        <v>2021</v>
      </c>
      <c r="H546" s="11" t="s">
        <v>2022</v>
      </c>
      <c r="I546" s="11"/>
      <c r="J546" s="11" t="s">
        <v>2023</v>
      </c>
      <c r="K546" s="9" t="s">
        <v>391</v>
      </c>
    </row>
    <row r="547" customFormat="false" ht="23.85" hidden="false" customHeight="false" outlineLevel="0" collapsed="false">
      <c r="A547" s="9" t="s">
        <v>21</v>
      </c>
      <c r="B547" s="9" t="s">
        <v>11</v>
      </c>
      <c r="C547" s="9" t="s">
        <v>118</v>
      </c>
      <c r="D547" s="9" t="s">
        <v>119</v>
      </c>
      <c r="E547" s="9" t="s">
        <v>386</v>
      </c>
      <c r="F547" s="11" t="s">
        <v>410</v>
      </c>
      <c r="G547" s="11" t="s">
        <v>2024</v>
      </c>
      <c r="H547" s="11" t="s">
        <v>2025</v>
      </c>
      <c r="I547" s="11"/>
      <c r="J547" s="11" t="s">
        <v>2026</v>
      </c>
      <c r="K547" s="9" t="s">
        <v>391</v>
      </c>
    </row>
    <row r="548" customFormat="false" ht="35.05" hidden="false" customHeight="false" outlineLevel="0" collapsed="false">
      <c r="A548" s="9" t="s">
        <v>21</v>
      </c>
      <c r="B548" s="9" t="s">
        <v>11</v>
      </c>
      <c r="C548" s="9" t="s">
        <v>118</v>
      </c>
      <c r="D548" s="9" t="s">
        <v>119</v>
      </c>
      <c r="E548" s="9" t="s">
        <v>386</v>
      </c>
      <c r="F548" s="11" t="s">
        <v>387</v>
      </c>
      <c r="G548" s="11" t="s">
        <v>2027</v>
      </c>
      <c r="H548" s="11" t="s">
        <v>2028</v>
      </c>
      <c r="I548" s="11"/>
      <c r="J548" s="11" t="s">
        <v>2029</v>
      </c>
      <c r="K548" s="9" t="s">
        <v>391</v>
      </c>
    </row>
    <row r="549" customFormat="false" ht="23.85" hidden="false" customHeight="false" outlineLevel="0" collapsed="false">
      <c r="A549" s="9" t="s">
        <v>21</v>
      </c>
      <c r="B549" s="9" t="s">
        <v>11</v>
      </c>
      <c r="C549" s="9" t="s">
        <v>118</v>
      </c>
      <c r="D549" s="9" t="s">
        <v>119</v>
      </c>
      <c r="E549" s="9" t="s">
        <v>386</v>
      </c>
      <c r="F549" s="11" t="s">
        <v>387</v>
      </c>
      <c r="G549" s="11" t="s">
        <v>2030</v>
      </c>
      <c r="H549" s="11" t="s">
        <v>2031</v>
      </c>
      <c r="I549" s="11"/>
      <c r="J549" s="11" t="s">
        <v>2032</v>
      </c>
      <c r="K549" s="9" t="s">
        <v>391</v>
      </c>
    </row>
    <row r="550" customFormat="false" ht="35.05" hidden="false" customHeight="false" outlineLevel="0" collapsed="false">
      <c r="A550" s="9" t="s">
        <v>21</v>
      </c>
      <c r="B550" s="9" t="s">
        <v>11</v>
      </c>
      <c r="C550" s="9" t="s">
        <v>118</v>
      </c>
      <c r="D550" s="9" t="s">
        <v>119</v>
      </c>
      <c r="E550" s="9" t="s">
        <v>386</v>
      </c>
      <c r="F550" s="11" t="s">
        <v>410</v>
      </c>
      <c r="G550" s="11" t="s">
        <v>2033</v>
      </c>
      <c r="H550" s="11" t="s">
        <v>2034</v>
      </c>
      <c r="I550" s="11"/>
      <c r="J550" s="11" t="s">
        <v>2035</v>
      </c>
      <c r="K550" s="9" t="s">
        <v>391</v>
      </c>
    </row>
    <row r="551" customFormat="false" ht="46.25" hidden="false" customHeight="false" outlineLevel="0" collapsed="false">
      <c r="A551" s="9" t="s">
        <v>21</v>
      </c>
      <c r="B551" s="9" t="s">
        <v>11</v>
      </c>
      <c r="C551" s="9" t="s">
        <v>118</v>
      </c>
      <c r="D551" s="9" t="s">
        <v>119</v>
      </c>
      <c r="E551" s="9" t="s">
        <v>386</v>
      </c>
      <c r="F551" s="11" t="s">
        <v>410</v>
      </c>
      <c r="G551" s="11" t="s">
        <v>2036</v>
      </c>
      <c r="H551" s="11" t="s">
        <v>2037</v>
      </c>
      <c r="I551" s="11"/>
      <c r="J551" s="11" t="s">
        <v>2038</v>
      </c>
      <c r="K551" s="9" t="s">
        <v>391</v>
      </c>
    </row>
    <row r="552" customFormat="false" ht="46.25" hidden="false" customHeight="false" outlineLevel="0" collapsed="false">
      <c r="A552" s="9" t="s">
        <v>21</v>
      </c>
      <c r="B552" s="9" t="s">
        <v>11</v>
      </c>
      <c r="C552" s="9" t="s">
        <v>121</v>
      </c>
      <c r="D552" s="9" t="s">
        <v>122</v>
      </c>
      <c r="E552" s="9" t="s">
        <v>386</v>
      </c>
      <c r="F552" s="11" t="s">
        <v>410</v>
      </c>
      <c r="G552" s="11" t="s">
        <v>2039</v>
      </c>
      <c r="H552" s="11" t="s">
        <v>2040</v>
      </c>
      <c r="I552" s="11"/>
      <c r="J552" s="11" t="s">
        <v>2041</v>
      </c>
      <c r="K552" s="9" t="s">
        <v>391</v>
      </c>
    </row>
    <row r="553" customFormat="false" ht="35.05" hidden="false" customHeight="false" outlineLevel="0" collapsed="false">
      <c r="A553" s="9" t="s">
        <v>21</v>
      </c>
      <c r="B553" s="9" t="s">
        <v>11</v>
      </c>
      <c r="C553" s="9" t="s">
        <v>121</v>
      </c>
      <c r="D553" s="9" t="s">
        <v>122</v>
      </c>
      <c r="E553" s="9" t="s">
        <v>386</v>
      </c>
      <c r="F553" s="11" t="s">
        <v>767</v>
      </c>
      <c r="G553" s="11" t="s">
        <v>2042</v>
      </c>
      <c r="H553" s="11" t="s">
        <v>2043</v>
      </c>
      <c r="I553" s="11"/>
      <c r="J553" s="11" t="s">
        <v>2044</v>
      </c>
      <c r="K553" s="9" t="s">
        <v>391</v>
      </c>
    </row>
    <row r="554" customFormat="false" ht="46.25" hidden="false" customHeight="false" outlineLevel="0" collapsed="false">
      <c r="A554" s="9" t="s">
        <v>21</v>
      </c>
      <c r="B554" s="9" t="s">
        <v>11</v>
      </c>
      <c r="C554" s="9" t="s">
        <v>121</v>
      </c>
      <c r="D554" s="9" t="s">
        <v>122</v>
      </c>
      <c r="E554" s="9" t="s">
        <v>386</v>
      </c>
      <c r="F554" s="11" t="s">
        <v>400</v>
      </c>
      <c r="G554" s="11" t="s">
        <v>2045</v>
      </c>
      <c r="H554" s="11" t="s">
        <v>2046</v>
      </c>
      <c r="I554" s="11"/>
      <c r="J554" s="11" t="s">
        <v>2047</v>
      </c>
      <c r="K554" s="9" t="s">
        <v>391</v>
      </c>
    </row>
    <row r="555" customFormat="false" ht="46.25" hidden="false" customHeight="false" outlineLevel="0" collapsed="false">
      <c r="A555" s="9" t="s">
        <v>21</v>
      </c>
      <c r="B555" s="9" t="s">
        <v>11</v>
      </c>
      <c r="C555" s="9" t="s">
        <v>121</v>
      </c>
      <c r="D555" s="9" t="s">
        <v>122</v>
      </c>
      <c r="E555" s="9" t="s">
        <v>386</v>
      </c>
      <c r="F555" s="11" t="s">
        <v>400</v>
      </c>
      <c r="G555" s="11" t="s">
        <v>2048</v>
      </c>
      <c r="H555" s="11" t="s">
        <v>2049</v>
      </c>
      <c r="I555" s="11"/>
      <c r="J555" s="11" t="s">
        <v>2050</v>
      </c>
      <c r="K555" s="9" t="s">
        <v>391</v>
      </c>
    </row>
    <row r="556" customFormat="false" ht="35.05" hidden="false" customHeight="false" outlineLevel="0" collapsed="false">
      <c r="A556" s="9" t="s">
        <v>21</v>
      </c>
      <c r="B556" s="9" t="s">
        <v>11</v>
      </c>
      <c r="C556" s="9" t="s">
        <v>121</v>
      </c>
      <c r="D556" s="9" t="s">
        <v>122</v>
      </c>
      <c r="E556" s="9" t="s">
        <v>386</v>
      </c>
      <c r="F556" s="11" t="s">
        <v>715</v>
      </c>
      <c r="G556" s="11" t="s">
        <v>2051</v>
      </c>
      <c r="H556" s="11" t="s">
        <v>2052</v>
      </c>
      <c r="I556" s="11"/>
      <c r="J556" s="11" t="s">
        <v>2053</v>
      </c>
      <c r="K556" s="9" t="s">
        <v>391</v>
      </c>
    </row>
    <row r="557" customFormat="false" ht="23.85" hidden="false" customHeight="false" outlineLevel="0" collapsed="false">
      <c r="A557" s="9" t="s">
        <v>21</v>
      </c>
      <c r="B557" s="9" t="s">
        <v>11</v>
      </c>
      <c r="C557" s="9" t="s">
        <v>121</v>
      </c>
      <c r="D557" s="9" t="s">
        <v>122</v>
      </c>
      <c r="E557" s="9" t="s">
        <v>386</v>
      </c>
      <c r="F557" s="11" t="s">
        <v>396</v>
      </c>
      <c r="G557" s="11" t="s">
        <v>2054</v>
      </c>
      <c r="H557" s="11" t="s">
        <v>2055</v>
      </c>
      <c r="I557" s="11"/>
      <c r="J557" s="11" t="s">
        <v>2056</v>
      </c>
      <c r="K557" s="9" t="s">
        <v>391</v>
      </c>
    </row>
    <row r="558" customFormat="false" ht="46.25" hidden="false" customHeight="false" outlineLevel="0" collapsed="false">
      <c r="A558" s="9" t="s">
        <v>21</v>
      </c>
      <c r="B558" s="9" t="s">
        <v>11</v>
      </c>
      <c r="C558" s="9" t="s">
        <v>121</v>
      </c>
      <c r="D558" s="9" t="s">
        <v>122</v>
      </c>
      <c r="E558" s="9" t="s">
        <v>386</v>
      </c>
      <c r="F558" s="11" t="s">
        <v>410</v>
      </c>
      <c r="G558" s="11" t="s">
        <v>2057</v>
      </c>
      <c r="H558" s="11" t="s">
        <v>2058</v>
      </c>
      <c r="I558" s="11"/>
      <c r="J558" s="11" t="s">
        <v>2041</v>
      </c>
      <c r="K558" s="9" t="s">
        <v>391</v>
      </c>
    </row>
    <row r="559" customFormat="false" ht="35.05" hidden="false" customHeight="false" outlineLevel="0" collapsed="false">
      <c r="A559" s="9" t="s">
        <v>21</v>
      </c>
      <c r="B559" s="9" t="s">
        <v>11</v>
      </c>
      <c r="C559" s="9" t="s">
        <v>121</v>
      </c>
      <c r="D559" s="9" t="s">
        <v>122</v>
      </c>
      <c r="E559" s="9" t="s">
        <v>386</v>
      </c>
      <c r="F559" s="11" t="s">
        <v>387</v>
      </c>
      <c r="G559" s="11" t="s">
        <v>2059</v>
      </c>
      <c r="H559" s="11" t="s">
        <v>2060</v>
      </c>
      <c r="I559" s="11"/>
      <c r="J559" s="11" t="s">
        <v>2061</v>
      </c>
      <c r="K559" s="9" t="s">
        <v>391</v>
      </c>
    </row>
    <row r="560" customFormat="false" ht="46.25" hidden="false" customHeight="false" outlineLevel="0" collapsed="false">
      <c r="A560" s="9" t="s">
        <v>21</v>
      </c>
      <c r="B560" s="9" t="s">
        <v>11</v>
      </c>
      <c r="C560" s="9" t="s">
        <v>121</v>
      </c>
      <c r="D560" s="9" t="s">
        <v>122</v>
      </c>
      <c r="E560" s="9" t="s">
        <v>386</v>
      </c>
      <c r="F560" s="11" t="s">
        <v>419</v>
      </c>
      <c r="G560" s="11" t="s">
        <v>2062</v>
      </c>
      <c r="H560" s="11" t="s">
        <v>2063</v>
      </c>
      <c r="I560" s="11"/>
      <c r="J560" s="11" t="s">
        <v>2064</v>
      </c>
      <c r="K560" s="9" t="s">
        <v>391</v>
      </c>
    </row>
    <row r="561" customFormat="false" ht="46.25" hidden="false" customHeight="false" outlineLevel="0" collapsed="false">
      <c r="A561" s="9" t="s">
        <v>21</v>
      </c>
      <c r="B561" s="9" t="s">
        <v>11</v>
      </c>
      <c r="C561" s="9" t="s">
        <v>121</v>
      </c>
      <c r="D561" s="9" t="s">
        <v>122</v>
      </c>
      <c r="E561" s="9" t="s">
        <v>386</v>
      </c>
      <c r="F561" s="11" t="s">
        <v>2065</v>
      </c>
      <c r="G561" s="11" t="s">
        <v>2066</v>
      </c>
      <c r="H561" s="11" t="s">
        <v>2067</v>
      </c>
      <c r="I561" s="11"/>
      <c r="J561" s="11" t="s">
        <v>2064</v>
      </c>
      <c r="K561" s="9" t="s">
        <v>391</v>
      </c>
    </row>
    <row r="562" customFormat="false" ht="46.25" hidden="false" customHeight="false" outlineLevel="0" collapsed="false">
      <c r="A562" s="9" t="s">
        <v>21</v>
      </c>
      <c r="B562" s="9" t="s">
        <v>11</v>
      </c>
      <c r="C562" s="9" t="s">
        <v>121</v>
      </c>
      <c r="D562" s="9" t="s">
        <v>122</v>
      </c>
      <c r="E562" s="9" t="s">
        <v>386</v>
      </c>
      <c r="F562" s="11" t="s">
        <v>2065</v>
      </c>
      <c r="G562" s="11" t="s">
        <v>2068</v>
      </c>
      <c r="H562" s="11" t="s">
        <v>2069</v>
      </c>
      <c r="I562" s="11"/>
      <c r="J562" s="11" t="s">
        <v>2064</v>
      </c>
      <c r="K562" s="9" t="s">
        <v>391</v>
      </c>
    </row>
    <row r="563" customFormat="false" ht="35.05" hidden="false" customHeight="false" outlineLevel="0" collapsed="false">
      <c r="A563" s="9" t="s">
        <v>21</v>
      </c>
      <c r="B563" s="9" t="s">
        <v>11</v>
      </c>
      <c r="C563" s="9" t="s">
        <v>121</v>
      </c>
      <c r="D563" s="9" t="s">
        <v>122</v>
      </c>
      <c r="E563" s="9" t="s">
        <v>386</v>
      </c>
      <c r="F563" s="11" t="s">
        <v>410</v>
      </c>
      <c r="G563" s="11" t="s">
        <v>2070</v>
      </c>
      <c r="H563" s="11" t="s">
        <v>2071</v>
      </c>
      <c r="I563" s="11"/>
      <c r="J563" s="11" t="s">
        <v>2072</v>
      </c>
      <c r="K563" s="9" t="s">
        <v>391</v>
      </c>
    </row>
    <row r="564" customFormat="false" ht="46.25" hidden="false" customHeight="false" outlineLevel="0" collapsed="false">
      <c r="A564" s="9" t="s">
        <v>21</v>
      </c>
      <c r="B564" s="9" t="s">
        <v>11</v>
      </c>
      <c r="C564" s="9" t="s">
        <v>121</v>
      </c>
      <c r="D564" s="9" t="s">
        <v>122</v>
      </c>
      <c r="E564" s="9" t="s">
        <v>386</v>
      </c>
      <c r="F564" s="11" t="s">
        <v>410</v>
      </c>
      <c r="G564" s="11" t="s">
        <v>2073</v>
      </c>
      <c r="H564" s="11" t="s">
        <v>2074</v>
      </c>
      <c r="I564" s="11"/>
      <c r="J564" s="11" t="s">
        <v>2075</v>
      </c>
      <c r="K564" s="9" t="s">
        <v>391</v>
      </c>
    </row>
    <row r="565" customFormat="false" ht="46.25" hidden="false" customHeight="false" outlineLevel="0" collapsed="false">
      <c r="A565" s="9" t="s">
        <v>21</v>
      </c>
      <c r="B565" s="9" t="s">
        <v>11</v>
      </c>
      <c r="C565" s="9" t="s">
        <v>121</v>
      </c>
      <c r="D565" s="9" t="s">
        <v>122</v>
      </c>
      <c r="E565" s="9" t="s">
        <v>386</v>
      </c>
      <c r="F565" s="11" t="s">
        <v>767</v>
      </c>
      <c r="G565" s="11" t="s">
        <v>2076</v>
      </c>
      <c r="H565" s="11" t="s">
        <v>2077</v>
      </c>
      <c r="I565" s="11"/>
      <c r="J565" s="11" t="s">
        <v>2078</v>
      </c>
      <c r="K565" s="9" t="s">
        <v>391</v>
      </c>
    </row>
    <row r="566" customFormat="false" ht="46.25" hidden="false" customHeight="false" outlineLevel="0" collapsed="false">
      <c r="A566" s="9" t="s">
        <v>21</v>
      </c>
      <c r="B566" s="9" t="s">
        <v>11</v>
      </c>
      <c r="C566" s="9" t="s">
        <v>115</v>
      </c>
      <c r="D566" s="9" t="s">
        <v>116</v>
      </c>
      <c r="E566" s="9" t="s">
        <v>386</v>
      </c>
      <c r="F566" s="11" t="s">
        <v>722</v>
      </c>
      <c r="G566" s="11" t="s">
        <v>2079</v>
      </c>
      <c r="H566" s="11" t="s">
        <v>2080</v>
      </c>
      <c r="I566" s="11"/>
      <c r="J566" s="11" t="s">
        <v>2081</v>
      </c>
      <c r="K566" s="9" t="s">
        <v>391</v>
      </c>
    </row>
    <row r="567" customFormat="false" ht="35.05" hidden="false" customHeight="false" outlineLevel="0" collapsed="false">
      <c r="A567" s="9" t="s">
        <v>21</v>
      </c>
      <c r="B567" s="9" t="s">
        <v>11</v>
      </c>
      <c r="C567" s="9" t="s">
        <v>115</v>
      </c>
      <c r="D567" s="9" t="s">
        <v>116</v>
      </c>
      <c r="E567" s="9" t="s">
        <v>386</v>
      </c>
      <c r="F567" s="11" t="s">
        <v>410</v>
      </c>
      <c r="G567" s="11" t="s">
        <v>2082</v>
      </c>
      <c r="H567" s="11" t="s">
        <v>2083</v>
      </c>
      <c r="I567" s="11"/>
      <c r="J567" s="11" t="s">
        <v>2084</v>
      </c>
      <c r="K567" s="9" t="s">
        <v>391</v>
      </c>
    </row>
    <row r="568" customFormat="false" ht="46.25" hidden="false" customHeight="false" outlineLevel="0" collapsed="false">
      <c r="A568" s="9" t="s">
        <v>21</v>
      </c>
      <c r="B568" s="9" t="s">
        <v>11</v>
      </c>
      <c r="C568" s="9" t="s">
        <v>115</v>
      </c>
      <c r="D568" s="9" t="s">
        <v>116</v>
      </c>
      <c r="E568" s="9" t="s">
        <v>386</v>
      </c>
      <c r="F568" s="11" t="s">
        <v>400</v>
      </c>
      <c r="G568" s="11" t="s">
        <v>2085</v>
      </c>
      <c r="H568" s="11" t="s">
        <v>2086</v>
      </c>
      <c r="I568" s="11"/>
      <c r="J568" s="11" t="s">
        <v>2087</v>
      </c>
      <c r="K568" s="9" t="s">
        <v>391</v>
      </c>
    </row>
    <row r="569" customFormat="false" ht="46.25" hidden="false" customHeight="false" outlineLevel="0" collapsed="false">
      <c r="A569" s="9" t="s">
        <v>21</v>
      </c>
      <c r="B569" s="9" t="s">
        <v>11</v>
      </c>
      <c r="C569" s="9" t="s">
        <v>115</v>
      </c>
      <c r="D569" s="9" t="s">
        <v>116</v>
      </c>
      <c r="E569" s="9" t="s">
        <v>386</v>
      </c>
      <c r="F569" s="11" t="s">
        <v>400</v>
      </c>
      <c r="G569" s="11" t="s">
        <v>2088</v>
      </c>
      <c r="H569" s="11" t="s">
        <v>2089</v>
      </c>
      <c r="I569" s="11"/>
      <c r="J569" s="11" t="s">
        <v>2090</v>
      </c>
      <c r="K569" s="9" t="s">
        <v>391</v>
      </c>
    </row>
    <row r="570" customFormat="false" ht="23.85" hidden="false" customHeight="false" outlineLevel="0" collapsed="false">
      <c r="A570" s="9" t="s">
        <v>21</v>
      </c>
      <c r="B570" s="9" t="s">
        <v>11</v>
      </c>
      <c r="C570" s="9" t="s">
        <v>115</v>
      </c>
      <c r="D570" s="9" t="s">
        <v>116</v>
      </c>
      <c r="E570" s="9" t="s">
        <v>386</v>
      </c>
      <c r="F570" s="11" t="s">
        <v>396</v>
      </c>
      <c r="G570" s="11" t="s">
        <v>2091</v>
      </c>
      <c r="H570" s="11" t="s">
        <v>2092</v>
      </c>
      <c r="I570" s="11"/>
      <c r="J570" s="11" t="s">
        <v>2093</v>
      </c>
      <c r="K570" s="9" t="s">
        <v>391</v>
      </c>
    </row>
    <row r="571" customFormat="false" ht="23.85" hidden="false" customHeight="false" outlineLevel="0" collapsed="false">
      <c r="A571" s="9" t="s">
        <v>21</v>
      </c>
      <c r="B571" s="9" t="s">
        <v>11</v>
      </c>
      <c r="C571" s="9" t="s">
        <v>115</v>
      </c>
      <c r="D571" s="9" t="s">
        <v>116</v>
      </c>
      <c r="E571" s="9" t="s">
        <v>386</v>
      </c>
      <c r="F571" s="11" t="s">
        <v>767</v>
      </c>
      <c r="G571" s="11" t="s">
        <v>2094</v>
      </c>
      <c r="H571" s="11" t="s">
        <v>2095</v>
      </c>
      <c r="I571" s="11"/>
      <c r="J571" s="11" t="s">
        <v>2093</v>
      </c>
      <c r="K571" s="9" t="s">
        <v>391</v>
      </c>
    </row>
    <row r="572" customFormat="false" ht="35.05" hidden="false" customHeight="false" outlineLevel="0" collapsed="false">
      <c r="A572" s="9" t="s">
        <v>21</v>
      </c>
      <c r="B572" s="9" t="s">
        <v>11</v>
      </c>
      <c r="C572" s="9" t="s">
        <v>115</v>
      </c>
      <c r="D572" s="9" t="s">
        <v>116</v>
      </c>
      <c r="E572" s="9" t="s">
        <v>386</v>
      </c>
      <c r="F572" s="11" t="s">
        <v>767</v>
      </c>
      <c r="G572" s="11" t="s">
        <v>2096</v>
      </c>
      <c r="H572" s="11" t="s">
        <v>2097</v>
      </c>
      <c r="I572" s="11"/>
      <c r="J572" s="11" t="s">
        <v>2098</v>
      </c>
      <c r="K572" s="9" t="s">
        <v>391</v>
      </c>
    </row>
    <row r="573" customFormat="false" ht="23.85" hidden="false" customHeight="false" outlineLevel="0" collapsed="false">
      <c r="A573" s="9" t="s">
        <v>21</v>
      </c>
      <c r="B573" s="9" t="s">
        <v>11</v>
      </c>
      <c r="C573" s="9" t="s">
        <v>115</v>
      </c>
      <c r="D573" s="9" t="s">
        <v>116</v>
      </c>
      <c r="E573" s="9" t="s">
        <v>386</v>
      </c>
      <c r="F573" s="11" t="s">
        <v>441</v>
      </c>
      <c r="G573" s="11" t="s">
        <v>2099</v>
      </c>
      <c r="H573" s="11" t="s">
        <v>2100</v>
      </c>
      <c r="I573" s="11"/>
      <c r="J573" s="11" t="s">
        <v>2093</v>
      </c>
      <c r="K573" s="9" t="s">
        <v>391</v>
      </c>
    </row>
    <row r="574" customFormat="false" ht="46.25" hidden="false" customHeight="false" outlineLevel="0" collapsed="false">
      <c r="A574" s="9" t="s">
        <v>21</v>
      </c>
      <c r="B574" s="9" t="s">
        <v>11</v>
      </c>
      <c r="C574" s="9" t="s">
        <v>115</v>
      </c>
      <c r="D574" s="9" t="s">
        <v>116</v>
      </c>
      <c r="E574" s="9" t="s">
        <v>386</v>
      </c>
      <c r="F574" s="11" t="s">
        <v>1171</v>
      </c>
      <c r="G574" s="11" t="s">
        <v>2101</v>
      </c>
      <c r="H574" s="11" t="s">
        <v>2102</v>
      </c>
      <c r="I574" s="11"/>
      <c r="J574" s="11" t="s">
        <v>2081</v>
      </c>
      <c r="K574" s="9" t="s">
        <v>391</v>
      </c>
    </row>
    <row r="575" customFormat="false" ht="46.25" hidden="false" customHeight="false" outlineLevel="0" collapsed="false">
      <c r="A575" s="9" t="s">
        <v>21</v>
      </c>
      <c r="B575" s="9" t="s">
        <v>11</v>
      </c>
      <c r="C575" s="9" t="s">
        <v>115</v>
      </c>
      <c r="D575" s="9" t="s">
        <v>116</v>
      </c>
      <c r="E575" s="9" t="s">
        <v>386</v>
      </c>
      <c r="F575" s="11" t="s">
        <v>722</v>
      </c>
      <c r="G575" s="11" t="s">
        <v>2103</v>
      </c>
      <c r="H575" s="11" t="s">
        <v>2104</v>
      </c>
      <c r="I575" s="11"/>
      <c r="J575" s="11" t="s">
        <v>2105</v>
      </c>
      <c r="K575" s="9" t="s">
        <v>391</v>
      </c>
    </row>
    <row r="576" customFormat="false" ht="46.25" hidden="false" customHeight="false" outlineLevel="0" collapsed="false">
      <c r="A576" s="9" t="s">
        <v>21</v>
      </c>
      <c r="B576" s="9" t="s">
        <v>11</v>
      </c>
      <c r="C576" s="9" t="s">
        <v>115</v>
      </c>
      <c r="D576" s="9" t="s">
        <v>116</v>
      </c>
      <c r="E576" s="9" t="s">
        <v>386</v>
      </c>
      <c r="F576" s="11" t="s">
        <v>722</v>
      </c>
      <c r="G576" s="11" t="s">
        <v>2106</v>
      </c>
      <c r="H576" s="11" t="s">
        <v>2107</v>
      </c>
      <c r="I576" s="11"/>
      <c r="J576" s="11" t="s">
        <v>2108</v>
      </c>
      <c r="K576" s="9" t="s">
        <v>391</v>
      </c>
    </row>
    <row r="577" customFormat="false" ht="46.25" hidden="false" customHeight="false" outlineLevel="0" collapsed="false">
      <c r="A577" s="9" t="s">
        <v>21</v>
      </c>
      <c r="B577" s="9" t="s">
        <v>11</v>
      </c>
      <c r="C577" s="9" t="s">
        <v>115</v>
      </c>
      <c r="D577" s="9" t="s">
        <v>116</v>
      </c>
      <c r="E577" s="9" t="s">
        <v>386</v>
      </c>
      <c r="F577" s="11" t="s">
        <v>387</v>
      </c>
      <c r="G577" s="11" t="s">
        <v>2109</v>
      </c>
      <c r="H577" s="11" t="s">
        <v>2110</v>
      </c>
      <c r="I577" s="11"/>
      <c r="J577" s="11" t="s">
        <v>2111</v>
      </c>
      <c r="K577" s="9" t="s">
        <v>391</v>
      </c>
    </row>
    <row r="578" customFormat="false" ht="46.25" hidden="false" customHeight="false" outlineLevel="0" collapsed="false">
      <c r="A578" s="9" t="s">
        <v>21</v>
      </c>
      <c r="B578" s="9" t="s">
        <v>11</v>
      </c>
      <c r="C578" s="9" t="s">
        <v>115</v>
      </c>
      <c r="D578" s="9" t="s">
        <v>116</v>
      </c>
      <c r="E578" s="9" t="s">
        <v>386</v>
      </c>
      <c r="F578" s="11" t="s">
        <v>410</v>
      </c>
      <c r="G578" s="11" t="s">
        <v>2112</v>
      </c>
      <c r="H578" s="11" t="s">
        <v>2113</v>
      </c>
      <c r="I578" s="11"/>
      <c r="J578" s="11" t="s">
        <v>2114</v>
      </c>
      <c r="K578" s="9" t="s">
        <v>391</v>
      </c>
    </row>
    <row r="579" customFormat="false" ht="46.25" hidden="false" customHeight="false" outlineLevel="0" collapsed="false">
      <c r="A579" s="9" t="s">
        <v>21</v>
      </c>
      <c r="B579" s="9" t="s">
        <v>11</v>
      </c>
      <c r="C579" s="9" t="s">
        <v>115</v>
      </c>
      <c r="D579" s="9" t="s">
        <v>116</v>
      </c>
      <c r="E579" s="9" t="s">
        <v>386</v>
      </c>
      <c r="F579" s="11" t="s">
        <v>410</v>
      </c>
      <c r="G579" s="11" t="s">
        <v>2115</v>
      </c>
      <c r="H579" s="11" t="s">
        <v>2116</v>
      </c>
      <c r="I579" s="11"/>
      <c r="J579" s="11" t="s">
        <v>2117</v>
      </c>
      <c r="K579" s="9" t="s">
        <v>391</v>
      </c>
    </row>
    <row r="580" customFormat="false" ht="35.05" hidden="false" customHeight="false" outlineLevel="0" collapsed="false">
      <c r="A580" s="9" t="s">
        <v>21</v>
      </c>
      <c r="B580" s="9" t="s">
        <v>11</v>
      </c>
      <c r="C580" s="9" t="s">
        <v>115</v>
      </c>
      <c r="D580" s="9" t="s">
        <v>116</v>
      </c>
      <c r="E580" s="9" t="s">
        <v>386</v>
      </c>
      <c r="F580" s="11" t="s">
        <v>387</v>
      </c>
      <c r="G580" s="11" t="s">
        <v>2118</v>
      </c>
      <c r="H580" s="11" t="s">
        <v>2119</v>
      </c>
      <c r="I580" s="11"/>
      <c r="J580" s="11" t="s">
        <v>2120</v>
      </c>
      <c r="K580" s="9" t="s">
        <v>391</v>
      </c>
    </row>
    <row r="581" customFormat="false" ht="35.05" hidden="false" customHeight="false" outlineLevel="0" collapsed="false">
      <c r="A581" s="9" t="s">
        <v>21</v>
      </c>
      <c r="B581" s="9" t="s">
        <v>11</v>
      </c>
      <c r="C581" s="9" t="s">
        <v>115</v>
      </c>
      <c r="D581" s="9" t="s">
        <v>116</v>
      </c>
      <c r="E581" s="9" t="s">
        <v>386</v>
      </c>
      <c r="F581" s="11" t="s">
        <v>410</v>
      </c>
      <c r="G581" s="11" t="s">
        <v>2121</v>
      </c>
      <c r="H581" s="11" t="s">
        <v>2122</v>
      </c>
      <c r="I581" s="11"/>
      <c r="J581" s="11" t="s">
        <v>2098</v>
      </c>
      <c r="K581" s="9" t="s">
        <v>391</v>
      </c>
    </row>
    <row r="582" customFormat="false" ht="46.25" hidden="false" customHeight="false" outlineLevel="0" collapsed="false">
      <c r="A582" s="9" t="s">
        <v>21</v>
      </c>
      <c r="B582" s="9" t="s">
        <v>11</v>
      </c>
      <c r="C582" s="9" t="s">
        <v>332</v>
      </c>
      <c r="D582" s="9" t="s">
        <v>333</v>
      </c>
      <c r="E582" s="9" t="s">
        <v>386</v>
      </c>
      <c r="F582" s="11" t="s">
        <v>410</v>
      </c>
      <c r="G582" s="11" t="s">
        <v>2123</v>
      </c>
      <c r="H582" s="11" t="s">
        <v>2124</v>
      </c>
      <c r="I582" s="11"/>
      <c r="J582" s="11" t="s">
        <v>2125</v>
      </c>
      <c r="K582" s="9" t="s">
        <v>391</v>
      </c>
    </row>
    <row r="583" customFormat="false" ht="46.25" hidden="false" customHeight="false" outlineLevel="0" collapsed="false">
      <c r="A583" s="9" t="s">
        <v>21</v>
      </c>
      <c r="B583" s="9" t="s">
        <v>11</v>
      </c>
      <c r="C583" s="9" t="s">
        <v>332</v>
      </c>
      <c r="D583" s="9" t="s">
        <v>333</v>
      </c>
      <c r="E583" s="9" t="s">
        <v>386</v>
      </c>
      <c r="F583" s="11" t="s">
        <v>441</v>
      </c>
      <c r="G583" s="11" t="s">
        <v>2126</v>
      </c>
      <c r="H583" s="11" t="s">
        <v>2127</v>
      </c>
      <c r="I583" s="11"/>
      <c r="J583" s="11" t="s">
        <v>2128</v>
      </c>
      <c r="K583" s="9" t="s">
        <v>391</v>
      </c>
    </row>
    <row r="584" customFormat="false" ht="46.25" hidden="false" customHeight="false" outlineLevel="0" collapsed="false">
      <c r="A584" s="9" t="s">
        <v>21</v>
      </c>
      <c r="B584" s="9" t="s">
        <v>11</v>
      </c>
      <c r="C584" s="9" t="s">
        <v>332</v>
      </c>
      <c r="D584" s="9" t="s">
        <v>333</v>
      </c>
      <c r="E584" s="9" t="s">
        <v>386</v>
      </c>
      <c r="F584" s="11" t="s">
        <v>387</v>
      </c>
      <c r="G584" s="11" t="s">
        <v>2129</v>
      </c>
      <c r="H584" s="11" t="s">
        <v>2130</v>
      </c>
      <c r="I584" s="11"/>
      <c r="J584" s="11" t="s">
        <v>2131</v>
      </c>
      <c r="K584" s="9" t="s">
        <v>391</v>
      </c>
    </row>
    <row r="585" customFormat="false" ht="46.25" hidden="false" customHeight="false" outlineLevel="0" collapsed="false">
      <c r="A585" s="9" t="s">
        <v>21</v>
      </c>
      <c r="B585" s="9" t="s">
        <v>11</v>
      </c>
      <c r="C585" s="9" t="s">
        <v>332</v>
      </c>
      <c r="D585" s="9" t="s">
        <v>333</v>
      </c>
      <c r="E585" s="9" t="s">
        <v>386</v>
      </c>
      <c r="F585" s="11" t="s">
        <v>387</v>
      </c>
      <c r="G585" s="11" t="s">
        <v>2132</v>
      </c>
      <c r="H585" s="11" t="s">
        <v>2133</v>
      </c>
      <c r="I585" s="11"/>
      <c r="J585" s="11" t="s">
        <v>2131</v>
      </c>
      <c r="K585" s="9" t="s">
        <v>391</v>
      </c>
    </row>
    <row r="586" customFormat="false" ht="46.25" hidden="false" customHeight="false" outlineLevel="0" collapsed="false">
      <c r="A586" s="9" t="s">
        <v>21</v>
      </c>
      <c r="B586" s="9" t="s">
        <v>11</v>
      </c>
      <c r="C586" s="9" t="s">
        <v>332</v>
      </c>
      <c r="D586" s="9" t="s">
        <v>333</v>
      </c>
      <c r="E586" s="9" t="s">
        <v>386</v>
      </c>
      <c r="F586" s="11" t="s">
        <v>2134</v>
      </c>
      <c r="G586" s="11" t="s">
        <v>2135</v>
      </c>
      <c r="H586" s="11" t="s">
        <v>2136</v>
      </c>
      <c r="I586" s="11"/>
      <c r="J586" s="11" t="s">
        <v>2137</v>
      </c>
      <c r="K586" s="9" t="s">
        <v>391</v>
      </c>
    </row>
    <row r="587" customFormat="false" ht="46.25" hidden="false" customHeight="false" outlineLevel="0" collapsed="false">
      <c r="A587" s="9" t="s">
        <v>21</v>
      </c>
      <c r="B587" s="9" t="s">
        <v>11</v>
      </c>
      <c r="C587" s="9" t="s">
        <v>332</v>
      </c>
      <c r="D587" s="9" t="s">
        <v>333</v>
      </c>
      <c r="E587" s="9" t="s">
        <v>386</v>
      </c>
      <c r="F587" s="11" t="s">
        <v>666</v>
      </c>
      <c r="G587" s="11" t="s">
        <v>2138</v>
      </c>
      <c r="H587" s="11" t="s">
        <v>2139</v>
      </c>
      <c r="I587" s="11"/>
      <c r="J587" s="11" t="s">
        <v>2125</v>
      </c>
      <c r="K587" s="9" t="s">
        <v>391</v>
      </c>
    </row>
    <row r="588" customFormat="false" ht="35.05" hidden="false" customHeight="false" outlineLevel="0" collapsed="false">
      <c r="A588" s="9" t="s">
        <v>21</v>
      </c>
      <c r="B588" s="9" t="s">
        <v>11</v>
      </c>
      <c r="C588" s="9" t="s">
        <v>332</v>
      </c>
      <c r="D588" s="9" t="s">
        <v>333</v>
      </c>
      <c r="E588" s="9" t="s">
        <v>386</v>
      </c>
      <c r="F588" s="11" t="s">
        <v>392</v>
      </c>
      <c r="G588" s="11" t="s">
        <v>2140</v>
      </c>
      <c r="H588" s="11" t="s">
        <v>2141</v>
      </c>
      <c r="I588" s="11"/>
      <c r="J588" s="11" t="s">
        <v>2142</v>
      </c>
      <c r="K588" s="9" t="s">
        <v>391</v>
      </c>
    </row>
    <row r="589" customFormat="false" ht="46.25" hidden="false" customHeight="false" outlineLevel="0" collapsed="false">
      <c r="A589" s="9" t="s">
        <v>21</v>
      </c>
      <c r="B589" s="9" t="s">
        <v>11</v>
      </c>
      <c r="C589" s="9" t="s">
        <v>332</v>
      </c>
      <c r="D589" s="9" t="s">
        <v>333</v>
      </c>
      <c r="E589" s="9" t="s">
        <v>386</v>
      </c>
      <c r="F589" s="11" t="s">
        <v>396</v>
      </c>
      <c r="G589" s="11" t="s">
        <v>2143</v>
      </c>
      <c r="H589" s="11" t="s">
        <v>2144</v>
      </c>
      <c r="I589" s="11"/>
      <c r="J589" s="11" t="s">
        <v>2145</v>
      </c>
      <c r="K589" s="9" t="s">
        <v>391</v>
      </c>
    </row>
    <row r="590" customFormat="false" ht="68.65" hidden="false" customHeight="false" outlineLevel="0" collapsed="false">
      <c r="A590" s="9" t="s">
        <v>21</v>
      </c>
      <c r="B590" s="9" t="s">
        <v>11</v>
      </c>
      <c r="C590" s="9" t="s">
        <v>332</v>
      </c>
      <c r="D590" s="9" t="s">
        <v>333</v>
      </c>
      <c r="E590" s="9" t="s">
        <v>386</v>
      </c>
      <c r="F590" s="11" t="s">
        <v>400</v>
      </c>
      <c r="G590" s="11" t="s">
        <v>2146</v>
      </c>
      <c r="H590" s="11" t="s">
        <v>2147</v>
      </c>
      <c r="I590" s="11"/>
      <c r="J590" s="11" t="s">
        <v>2148</v>
      </c>
      <c r="K590" s="9" t="s">
        <v>391</v>
      </c>
    </row>
    <row r="591" customFormat="false" ht="46.25" hidden="false" customHeight="false" outlineLevel="0" collapsed="false">
      <c r="A591" s="9" t="s">
        <v>21</v>
      </c>
      <c r="B591" s="9" t="s">
        <v>11</v>
      </c>
      <c r="C591" s="9" t="s">
        <v>332</v>
      </c>
      <c r="D591" s="9" t="s">
        <v>333</v>
      </c>
      <c r="E591" s="9" t="s">
        <v>386</v>
      </c>
      <c r="F591" s="11" t="s">
        <v>722</v>
      </c>
      <c r="G591" s="11" t="s">
        <v>2149</v>
      </c>
      <c r="H591" s="11" t="s">
        <v>2150</v>
      </c>
      <c r="I591" s="11"/>
      <c r="J591" s="11" t="s">
        <v>2137</v>
      </c>
      <c r="K591" s="9" t="s">
        <v>391</v>
      </c>
    </row>
    <row r="592" customFormat="false" ht="46.25" hidden="false" customHeight="false" outlineLevel="0" collapsed="false">
      <c r="A592" s="9" t="s">
        <v>21</v>
      </c>
      <c r="B592" s="9" t="s">
        <v>11</v>
      </c>
      <c r="C592" s="9" t="s">
        <v>336</v>
      </c>
      <c r="D592" s="9" t="s">
        <v>337</v>
      </c>
      <c r="E592" s="9" t="s">
        <v>386</v>
      </c>
      <c r="F592" s="11" t="s">
        <v>938</v>
      </c>
      <c r="G592" s="11" t="s">
        <v>2151</v>
      </c>
      <c r="H592" s="11" t="s">
        <v>2152</v>
      </c>
      <c r="I592" s="11"/>
      <c r="J592" s="11" t="s">
        <v>2153</v>
      </c>
      <c r="K592" s="9" t="s">
        <v>391</v>
      </c>
    </row>
    <row r="593" customFormat="false" ht="57.45" hidden="false" customHeight="false" outlineLevel="0" collapsed="false">
      <c r="A593" s="9" t="s">
        <v>21</v>
      </c>
      <c r="B593" s="9" t="s">
        <v>11</v>
      </c>
      <c r="C593" s="9" t="s">
        <v>336</v>
      </c>
      <c r="D593" s="9" t="s">
        <v>337</v>
      </c>
      <c r="E593" s="9" t="s">
        <v>386</v>
      </c>
      <c r="F593" s="11" t="s">
        <v>410</v>
      </c>
      <c r="G593" s="11" t="s">
        <v>2154</v>
      </c>
      <c r="H593" s="11" t="s">
        <v>2155</v>
      </c>
      <c r="I593" s="11"/>
      <c r="J593" s="11" t="s">
        <v>2156</v>
      </c>
      <c r="K593" s="9" t="s">
        <v>391</v>
      </c>
    </row>
    <row r="594" customFormat="false" ht="57.45" hidden="false" customHeight="false" outlineLevel="0" collapsed="false">
      <c r="A594" s="9" t="s">
        <v>21</v>
      </c>
      <c r="B594" s="9" t="s">
        <v>11</v>
      </c>
      <c r="C594" s="9" t="s">
        <v>336</v>
      </c>
      <c r="D594" s="9" t="s">
        <v>337</v>
      </c>
      <c r="E594" s="9" t="s">
        <v>386</v>
      </c>
      <c r="F594" s="11" t="s">
        <v>387</v>
      </c>
      <c r="G594" s="11" t="s">
        <v>2157</v>
      </c>
      <c r="H594" s="11" t="s">
        <v>2158</v>
      </c>
      <c r="I594" s="11"/>
      <c r="J594" s="11" t="s">
        <v>2156</v>
      </c>
      <c r="K594" s="9" t="s">
        <v>391</v>
      </c>
    </row>
    <row r="595" customFormat="false" ht="46.25" hidden="false" customHeight="false" outlineLevel="0" collapsed="false">
      <c r="A595" s="9" t="s">
        <v>21</v>
      </c>
      <c r="B595" s="9" t="s">
        <v>11</v>
      </c>
      <c r="C595" s="9" t="s">
        <v>336</v>
      </c>
      <c r="D595" s="9" t="s">
        <v>337</v>
      </c>
      <c r="E595" s="9" t="s">
        <v>386</v>
      </c>
      <c r="F595" s="11" t="s">
        <v>410</v>
      </c>
      <c r="G595" s="11" t="s">
        <v>2159</v>
      </c>
      <c r="H595" s="11" t="s">
        <v>2160</v>
      </c>
      <c r="I595" s="11"/>
      <c r="J595" s="11" t="s">
        <v>2161</v>
      </c>
      <c r="K595" s="9" t="s">
        <v>391</v>
      </c>
    </row>
    <row r="596" customFormat="false" ht="46.25" hidden="false" customHeight="false" outlineLevel="0" collapsed="false">
      <c r="A596" s="9" t="s">
        <v>21</v>
      </c>
      <c r="B596" s="9" t="s">
        <v>11</v>
      </c>
      <c r="C596" s="9" t="s">
        <v>336</v>
      </c>
      <c r="D596" s="9" t="s">
        <v>337</v>
      </c>
      <c r="E596" s="9" t="s">
        <v>386</v>
      </c>
      <c r="F596" s="11" t="s">
        <v>400</v>
      </c>
      <c r="G596" s="11" t="s">
        <v>2162</v>
      </c>
      <c r="H596" s="11" t="s">
        <v>2163</v>
      </c>
      <c r="I596" s="11"/>
      <c r="J596" s="11" t="s">
        <v>2164</v>
      </c>
      <c r="K596" s="9" t="s">
        <v>391</v>
      </c>
    </row>
    <row r="597" customFormat="false" ht="46.25" hidden="false" customHeight="false" outlineLevel="0" collapsed="false">
      <c r="A597" s="9" t="s">
        <v>21</v>
      </c>
      <c r="B597" s="9" t="s">
        <v>11</v>
      </c>
      <c r="C597" s="9" t="s">
        <v>336</v>
      </c>
      <c r="D597" s="9" t="s">
        <v>337</v>
      </c>
      <c r="E597" s="9" t="s">
        <v>386</v>
      </c>
      <c r="F597" s="11" t="s">
        <v>396</v>
      </c>
      <c r="G597" s="11" t="s">
        <v>2165</v>
      </c>
      <c r="H597" s="11" t="s">
        <v>2166</v>
      </c>
      <c r="I597" s="11"/>
      <c r="J597" s="11" t="s">
        <v>2164</v>
      </c>
      <c r="K597" s="9" t="s">
        <v>391</v>
      </c>
    </row>
    <row r="598" customFormat="false" ht="35.05" hidden="false" customHeight="false" outlineLevel="0" collapsed="false">
      <c r="A598" s="9" t="s">
        <v>21</v>
      </c>
      <c r="B598" s="9" t="s">
        <v>13</v>
      </c>
      <c r="C598" s="9" t="s">
        <v>354</v>
      </c>
      <c r="D598" s="9" t="s">
        <v>355</v>
      </c>
      <c r="E598" s="9" t="s">
        <v>386</v>
      </c>
      <c r="F598" s="11" t="s">
        <v>410</v>
      </c>
      <c r="G598" s="11" t="s">
        <v>2167</v>
      </c>
      <c r="H598" s="11" t="s">
        <v>2168</v>
      </c>
      <c r="I598" s="11"/>
      <c r="J598" s="11" t="s">
        <v>2169</v>
      </c>
      <c r="K598" s="9" t="s">
        <v>391</v>
      </c>
    </row>
    <row r="599" customFormat="false" ht="35.05" hidden="false" customHeight="false" outlineLevel="0" collapsed="false">
      <c r="A599" s="9" t="s">
        <v>21</v>
      </c>
      <c r="B599" s="9" t="s">
        <v>13</v>
      </c>
      <c r="C599" s="9" t="s">
        <v>354</v>
      </c>
      <c r="D599" s="9" t="s">
        <v>355</v>
      </c>
      <c r="E599" s="9" t="s">
        <v>386</v>
      </c>
      <c r="F599" s="11" t="s">
        <v>392</v>
      </c>
      <c r="G599" s="11" t="s">
        <v>2170</v>
      </c>
      <c r="H599" s="11" t="s">
        <v>2171</v>
      </c>
      <c r="I599" s="11"/>
      <c r="J599" s="11" t="s">
        <v>2172</v>
      </c>
      <c r="K599" s="9" t="s">
        <v>391</v>
      </c>
    </row>
    <row r="600" customFormat="false" ht="35.05" hidden="false" customHeight="false" outlineLevel="0" collapsed="false">
      <c r="A600" s="9" t="s">
        <v>21</v>
      </c>
      <c r="B600" s="9" t="s">
        <v>13</v>
      </c>
      <c r="C600" s="9" t="s">
        <v>354</v>
      </c>
      <c r="D600" s="9" t="s">
        <v>355</v>
      </c>
      <c r="E600" s="9" t="s">
        <v>386</v>
      </c>
      <c r="F600" s="11" t="s">
        <v>387</v>
      </c>
      <c r="G600" s="11" t="s">
        <v>2173</v>
      </c>
      <c r="H600" s="11" t="s">
        <v>2174</v>
      </c>
      <c r="I600" s="11"/>
      <c r="J600" s="11" t="s">
        <v>2169</v>
      </c>
      <c r="K600" s="9" t="s">
        <v>391</v>
      </c>
    </row>
    <row r="601" customFormat="false" ht="35.05" hidden="false" customHeight="false" outlineLevel="0" collapsed="false">
      <c r="A601" s="9" t="s">
        <v>21</v>
      </c>
      <c r="B601" s="9" t="s">
        <v>13</v>
      </c>
      <c r="C601" s="9" t="s">
        <v>354</v>
      </c>
      <c r="D601" s="9" t="s">
        <v>355</v>
      </c>
      <c r="E601" s="9" t="s">
        <v>386</v>
      </c>
      <c r="F601" s="11" t="s">
        <v>387</v>
      </c>
      <c r="G601" s="11" t="s">
        <v>2175</v>
      </c>
      <c r="H601" s="11" t="s">
        <v>2176</v>
      </c>
      <c r="I601" s="11"/>
      <c r="J601" s="11" t="s">
        <v>2169</v>
      </c>
      <c r="K601" s="9" t="s">
        <v>391</v>
      </c>
    </row>
    <row r="602" customFormat="false" ht="46.25" hidden="false" customHeight="false" outlineLevel="0" collapsed="false">
      <c r="A602" s="9" t="s">
        <v>21</v>
      </c>
      <c r="B602" s="9" t="s">
        <v>13</v>
      </c>
      <c r="C602" s="9" t="s">
        <v>354</v>
      </c>
      <c r="D602" s="9" t="s">
        <v>355</v>
      </c>
      <c r="E602" s="9" t="s">
        <v>386</v>
      </c>
      <c r="F602" s="11" t="s">
        <v>410</v>
      </c>
      <c r="G602" s="11" t="s">
        <v>2177</v>
      </c>
      <c r="H602" s="11" t="s">
        <v>2178</v>
      </c>
      <c r="I602" s="11"/>
      <c r="J602" s="11" t="s">
        <v>2179</v>
      </c>
      <c r="K602" s="9" t="s">
        <v>391</v>
      </c>
    </row>
    <row r="603" customFormat="false" ht="35.05" hidden="false" customHeight="false" outlineLevel="0" collapsed="false">
      <c r="A603" s="9" t="s">
        <v>21</v>
      </c>
      <c r="B603" s="9" t="s">
        <v>13</v>
      </c>
      <c r="C603" s="9" t="s">
        <v>354</v>
      </c>
      <c r="D603" s="9" t="s">
        <v>355</v>
      </c>
      <c r="E603" s="9" t="s">
        <v>386</v>
      </c>
      <c r="F603" s="11" t="s">
        <v>410</v>
      </c>
      <c r="G603" s="11" t="s">
        <v>2180</v>
      </c>
      <c r="H603" s="11" t="s">
        <v>2181</v>
      </c>
      <c r="I603" s="11"/>
      <c r="J603" s="11" t="s">
        <v>2169</v>
      </c>
      <c r="K603" s="9" t="s">
        <v>391</v>
      </c>
    </row>
    <row r="604" customFormat="false" ht="57.45" hidden="false" customHeight="false" outlineLevel="0" collapsed="false">
      <c r="A604" s="9" t="s">
        <v>21</v>
      </c>
      <c r="B604" s="9" t="s">
        <v>13</v>
      </c>
      <c r="C604" s="9" t="s">
        <v>354</v>
      </c>
      <c r="D604" s="9" t="s">
        <v>355</v>
      </c>
      <c r="E604" s="9" t="s">
        <v>386</v>
      </c>
      <c r="F604" s="11" t="s">
        <v>387</v>
      </c>
      <c r="G604" s="11" t="s">
        <v>2182</v>
      </c>
      <c r="H604" s="11" t="s">
        <v>2183</v>
      </c>
      <c r="I604" s="11"/>
      <c r="J604" s="11" t="s">
        <v>2184</v>
      </c>
      <c r="K604" s="9" t="s">
        <v>391</v>
      </c>
    </row>
    <row r="605" customFormat="false" ht="57.45" hidden="false" customHeight="false" outlineLevel="0" collapsed="false">
      <c r="A605" s="9" t="s">
        <v>21</v>
      </c>
      <c r="B605" s="9" t="s">
        <v>13</v>
      </c>
      <c r="C605" s="9" t="s">
        <v>354</v>
      </c>
      <c r="D605" s="9" t="s">
        <v>355</v>
      </c>
      <c r="E605" s="9" t="s">
        <v>386</v>
      </c>
      <c r="F605" s="11" t="s">
        <v>400</v>
      </c>
      <c r="G605" s="11" t="s">
        <v>2185</v>
      </c>
      <c r="H605" s="11" t="s">
        <v>2186</v>
      </c>
      <c r="I605" s="11"/>
      <c r="J605" s="11" t="s">
        <v>2187</v>
      </c>
      <c r="K605" s="9" t="s">
        <v>391</v>
      </c>
    </row>
    <row r="606" customFormat="false" ht="68.65" hidden="false" customHeight="false" outlineLevel="0" collapsed="false">
      <c r="A606" s="9" t="s">
        <v>21</v>
      </c>
      <c r="B606" s="9" t="s">
        <v>13</v>
      </c>
      <c r="C606" s="9" t="s">
        <v>354</v>
      </c>
      <c r="D606" s="9" t="s">
        <v>355</v>
      </c>
      <c r="E606" s="9" t="s">
        <v>386</v>
      </c>
      <c r="F606" s="11" t="s">
        <v>392</v>
      </c>
      <c r="G606" s="11" t="s">
        <v>2188</v>
      </c>
      <c r="H606" s="11" t="s">
        <v>2189</v>
      </c>
      <c r="I606" s="11"/>
      <c r="J606" s="11" t="s">
        <v>2190</v>
      </c>
      <c r="K606" s="9" t="s">
        <v>391</v>
      </c>
    </row>
    <row r="607" customFormat="false" ht="68.65" hidden="false" customHeight="false" outlineLevel="0" collapsed="false">
      <c r="A607" s="9" t="s">
        <v>21</v>
      </c>
      <c r="B607" s="9" t="s">
        <v>13</v>
      </c>
      <c r="C607" s="9" t="s">
        <v>354</v>
      </c>
      <c r="D607" s="9" t="s">
        <v>355</v>
      </c>
      <c r="E607" s="9" t="s">
        <v>386</v>
      </c>
      <c r="F607" s="11" t="s">
        <v>392</v>
      </c>
      <c r="G607" s="11" t="s">
        <v>2191</v>
      </c>
      <c r="H607" s="11" t="s">
        <v>2192</v>
      </c>
      <c r="I607" s="11"/>
      <c r="J607" s="11" t="s">
        <v>2190</v>
      </c>
      <c r="K607" s="9" t="s">
        <v>391</v>
      </c>
    </row>
    <row r="608" customFormat="false" ht="46.25" hidden="false" customHeight="false" outlineLevel="0" collapsed="false">
      <c r="A608" s="9" t="s">
        <v>21</v>
      </c>
      <c r="B608" s="9" t="s">
        <v>13</v>
      </c>
      <c r="C608" s="9" t="s">
        <v>127</v>
      </c>
      <c r="D608" s="9" t="s">
        <v>128</v>
      </c>
      <c r="E608" s="9" t="s">
        <v>386</v>
      </c>
      <c r="F608" s="11" t="s">
        <v>387</v>
      </c>
      <c r="G608" s="11" t="s">
        <v>2193</v>
      </c>
      <c r="H608" s="11" t="s">
        <v>2194</v>
      </c>
      <c r="I608" s="11"/>
      <c r="J608" s="11" t="s">
        <v>2195</v>
      </c>
      <c r="K608" s="9" t="s">
        <v>391</v>
      </c>
    </row>
    <row r="609" customFormat="false" ht="35.05" hidden="false" customHeight="false" outlineLevel="0" collapsed="false">
      <c r="A609" s="9" t="s">
        <v>21</v>
      </c>
      <c r="B609" s="9" t="s">
        <v>13</v>
      </c>
      <c r="C609" s="9" t="s">
        <v>127</v>
      </c>
      <c r="D609" s="9" t="s">
        <v>128</v>
      </c>
      <c r="E609" s="9" t="s">
        <v>386</v>
      </c>
      <c r="F609" s="11" t="s">
        <v>396</v>
      </c>
      <c r="G609" s="11" t="s">
        <v>2196</v>
      </c>
      <c r="H609" s="11" t="s">
        <v>2197</v>
      </c>
      <c r="I609" s="11"/>
      <c r="J609" s="11" t="s">
        <v>2198</v>
      </c>
      <c r="K609" s="9" t="s">
        <v>391</v>
      </c>
    </row>
    <row r="610" customFormat="false" ht="46.25" hidden="false" customHeight="false" outlineLevel="0" collapsed="false">
      <c r="A610" s="9" t="s">
        <v>21</v>
      </c>
      <c r="B610" s="9" t="s">
        <v>13</v>
      </c>
      <c r="C610" s="9" t="s">
        <v>127</v>
      </c>
      <c r="D610" s="9" t="s">
        <v>128</v>
      </c>
      <c r="E610" s="9" t="s">
        <v>386</v>
      </c>
      <c r="F610" s="11" t="s">
        <v>715</v>
      </c>
      <c r="G610" s="11" t="s">
        <v>2199</v>
      </c>
      <c r="H610" s="11" t="s">
        <v>2200</v>
      </c>
      <c r="I610" s="11"/>
      <c r="J610" s="11" t="s">
        <v>2201</v>
      </c>
      <c r="K610" s="9" t="s">
        <v>391</v>
      </c>
    </row>
    <row r="611" customFormat="false" ht="46.25" hidden="false" customHeight="false" outlineLevel="0" collapsed="false">
      <c r="A611" s="9" t="s">
        <v>21</v>
      </c>
      <c r="B611" s="9" t="s">
        <v>13</v>
      </c>
      <c r="C611" s="9" t="s">
        <v>127</v>
      </c>
      <c r="D611" s="9" t="s">
        <v>128</v>
      </c>
      <c r="E611" s="9" t="s">
        <v>386</v>
      </c>
      <c r="F611" s="11" t="s">
        <v>715</v>
      </c>
      <c r="G611" s="11" t="s">
        <v>2202</v>
      </c>
      <c r="H611" s="11" t="s">
        <v>2203</v>
      </c>
      <c r="I611" s="11"/>
      <c r="J611" s="11" t="s">
        <v>2204</v>
      </c>
      <c r="K611" s="9" t="s">
        <v>391</v>
      </c>
    </row>
    <row r="612" customFormat="false" ht="35.05" hidden="false" customHeight="false" outlineLevel="0" collapsed="false">
      <c r="A612" s="9" t="s">
        <v>21</v>
      </c>
      <c r="B612" s="9" t="s">
        <v>13</v>
      </c>
      <c r="C612" s="9" t="s">
        <v>127</v>
      </c>
      <c r="D612" s="9" t="s">
        <v>128</v>
      </c>
      <c r="E612" s="9" t="s">
        <v>386</v>
      </c>
      <c r="F612" s="11" t="s">
        <v>419</v>
      </c>
      <c r="G612" s="11" t="s">
        <v>2205</v>
      </c>
      <c r="H612" s="11" t="s">
        <v>2206</v>
      </c>
      <c r="I612" s="11"/>
      <c r="J612" s="11" t="s">
        <v>2207</v>
      </c>
      <c r="K612" s="9" t="s">
        <v>391</v>
      </c>
    </row>
    <row r="613" customFormat="false" ht="46.25" hidden="false" customHeight="false" outlineLevel="0" collapsed="false">
      <c r="A613" s="9" t="s">
        <v>21</v>
      </c>
      <c r="B613" s="9" t="s">
        <v>13</v>
      </c>
      <c r="C613" s="9" t="s">
        <v>127</v>
      </c>
      <c r="D613" s="9" t="s">
        <v>128</v>
      </c>
      <c r="E613" s="9" t="s">
        <v>386</v>
      </c>
      <c r="F613" s="11" t="s">
        <v>410</v>
      </c>
      <c r="G613" s="11" t="s">
        <v>2208</v>
      </c>
      <c r="H613" s="11" t="s">
        <v>2209</v>
      </c>
      <c r="I613" s="11"/>
      <c r="J613" s="11" t="s">
        <v>2210</v>
      </c>
      <c r="K613" s="9" t="s">
        <v>391</v>
      </c>
    </row>
    <row r="614" customFormat="false" ht="46.25" hidden="false" customHeight="false" outlineLevel="0" collapsed="false">
      <c r="A614" s="9" t="s">
        <v>21</v>
      </c>
      <c r="B614" s="9" t="s">
        <v>13</v>
      </c>
      <c r="C614" s="9" t="s">
        <v>127</v>
      </c>
      <c r="D614" s="9" t="s">
        <v>128</v>
      </c>
      <c r="E614" s="9" t="s">
        <v>386</v>
      </c>
      <c r="F614" s="11" t="s">
        <v>387</v>
      </c>
      <c r="G614" s="11" t="s">
        <v>2211</v>
      </c>
      <c r="H614" s="11" t="s">
        <v>2212</v>
      </c>
      <c r="I614" s="11"/>
      <c r="J614" s="11" t="s">
        <v>2213</v>
      </c>
      <c r="K614" s="9" t="s">
        <v>391</v>
      </c>
    </row>
    <row r="615" customFormat="false" ht="46.25" hidden="false" customHeight="false" outlineLevel="0" collapsed="false">
      <c r="A615" s="9" t="s">
        <v>21</v>
      </c>
      <c r="B615" s="9" t="s">
        <v>13</v>
      </c>
      <c r="C615" s="9" t="s">
        <v>127</v>
      </c>
      <c r="D615" s="9" t="s">
        <v>128</v>
      </c>
      <c r="E615" s="9" t="s">
        <v>386</v>
      </c>
      <c r="F615" s="11" t="s">
        <v>387</v>
      </c>
      <c r="G615" s="11" t="s">
        <v>2214</v>
      </c>
      <c r="H615" s="11" t="s">
        <v>2215</v>
      </c>
      <c r="I615" s="11"/>
      <c r="J615" s="11" t="s">
        <v>2216</v>
      </c>
      <c r="K615" s="9" t="s">
        <v>391</v>
      </c>
    </row>
    <row r="616" customFormat="false" ht="46.25" hidden="false" customHeight="false" outlineLevel="0" collapsed="false">
      <c r="A616" s="9" t="s">
        <v>21</v>
      </c>
      <c r="B616" s="9" t="s">
        <v>13</v>
      </c>
      <c r="C616" s="9" t="s">
        <v>127</v>
      </c>
      <c r="D616" s="9" t="s">
        <v>128</v>
      </c>
      <c r="E616" s="9" t="s">
        <v>386</v>
      </c>
      <c r="F616" s="11" t="s">
        <v>400</v>
      </c>
      <c r="G616" s="11" t="s">
        <v>2217</v>
      </c>
      <c r="H616" s="11" t="s">
        <v>2218</v>
      </c>
      <c r="I616" s="11"/>
      <c r="J616" s="11" t="s">
        <v>2219</v>
      </c>
      <c r="K616" s="9" t="s">
        <v>391</v>
      </c>
    </row>
    <row r="617" customFormat="false" ht="35.05" hidden="false" customHeight="false" outlineLevel="0" collapsed="false">
      <c r="A617" s="9" t="s">
        <v>21</v>
      </c>
      <c r="B617" s="9" t="s">
        <v>13</v>
      </c>
      <c r="C617" s="9" t="s">
        <v>127</v>
      </c>
      <c r="D617" s="9" t="s">
        <v>128</v>
      </c>
      <c r="E617" s="9" t="s">
        <v>386</v>
      </c>
      <c r="F617" s="11" t="s">
        <v>400</v>
      </c>
      <c r="G617" s="11" t="s">
        <v>2220</v>
      </c>
      <c r="H617" s="11" t="s">
        <v>2221</v>
      </c>
      <c r="I617" s="11"/>
      <c r="J617" s="11" t="s">
        <v>2222</v>
      </c>
      <c r="K617" s="9" t="s">
        <v>391</v>
      </c>
    </row>
    <row r="618" customFormat="false" ht="46.25" hidden="false" customHeight="false" outlineLevel="0" collapsed="false">
      <c r="A618" s="9" t="s">
        <v>21</v>
      </c>
      <c r="B618" s="9" t="s">
        <v>13</v>
      </c>
      <c r="C618" s="9" t="s">
        <v>127</v>
      </c>
      <c r="D618" s="9" t="s">
        <v>128</v>
      </c>
      <c r="E618" s="9" t="s">
        <v>386</v>
      </c>
      <c r="F618" s="11" t="s">
        <v>410</v>
      </c>
      <c r="G618" s="11" t="s">
        <v>2223</v>
      </c>
      <c r="H618" s="11" t="s">
        <v>2224</v>
      </c>
      <c r="I618" s="11"/>
      <c r="J618" s="11" t="s">
        <v>2225</v>
      </c>
      <c r="K618" s="9" t="s">
        <v>391</v>
      </c>
    </row>
    <row r="619" customFormat="false" ht="46.25" hidden="false" customHeight="false" outlineLevel="0" collapsed="false">
      <c r="A619" s="9" t="s">
        <v>21</v>
      </c>
      <c r="B619" s="9" t="s">
        <v>13</v>
      </c>
      <c r="C619" s="9" t="s">
        <v>127</v>
      </c>
      <c r="D619" s="9" t="s">
        <v>128</v>
      </c>
      <c r="E619" s="9" t="s">
        <v>386</v>
      </c>
      <c r="F619" s="11" t="s">
        <v>419</v>
      </c>
      <c r="G619" s="11" t="s">
        <v>2226</v>
      </c>
      <c r="H619" s="11" t="s">
        <v>2227</v>
      </c>
      <c r="I619" s="11"/>
      <c r="J619" s="11" t="s">
        <v>2228</v>
      </c>
      <c r="K619" s="9" t="s">
        <v>391</v>
      </c>
    </row>
    <row r="620" customFormat="false" ht="35.05" hidden="false" customHeight="false" outlineLevel="0" collapsed="false">
      <c r="A620" s="9" t="s">
        <v>21</v>
      </c>
      <c r="B620" s="9" t="s">
        <v>13</v>
      </c>
      <c r="C620" s="9" t="s">
        <v>124</v>
      </c>
      <c r="D620" s="9" t="s">
        <v>125</v>
      </c>
      <c r="E620" s="9" t="s">
        <v>386</v>
      </c>
      <c r="F620" s="11" t="s">
        <v>715</v>
      </c>
      <c r="G620" s="11" t="s">
        <v>2229</v>
      </c>
      <c r="H620" s="11" t="s">
        <v>2230</v>
      </c>
      <c r="I620" s="11"/>
      <c r="J620" s="11" t="s">
        <v>2231</v>
      </c>
      <c r="K620" s="9" t="s">
        <v>391</v>
      </c>
    </row>
    <row r="621" customFormat="false" ht="35.05" hidden="false" customHeight="false" outlineLevel="0" collapsed="false">
      <c r="A621" s="9" t="s">
        <v>21</v>
      </c>
      <c r="B621" s="9" t="s">
        <v>13</v>
      </c>
      <c r="C621" s="9" t="s">
        <v>124</v>
      </c>
      <c r="D621" s="9" t="s">
        <v>125</v>
      </c>
      <c r="E621" s="9" t="s">
        <v>386</v>
      </c>
      <c r="F621" s="11" t="s">
        <v>387</v>
      </c>
      <c r="G621" s="11" t="s">
        <v>2232</v>
      </c>
      <c r="H621" s="11" t="s">
        <v>2233</v>
      </c>
      <c r="I621" s="11"/>
      <c r="J621" s="11" t="s">
        <v>2234</v>
      </c>
      <c r="K621" s="9" t="s">
        <v>391</v>
      </c>
    </row>
    <row r="622" customFormat="false" ht="35.05" hidden="false" customHeight="false" outlineLevel="0" collapsed="false">
      <c r="A622" s="9" t="s">
        <v>21</v>
      </c>
      <c r="B622" s="9" t="s">
        <v>13</v>
      </c>
      <c r="C622" s="9" t="s">
        <v>124</v>
      </c>
      <c r="D622" s="9" t="s">
        <v>125</v>
      </c>
      <c r="E622" s="9" t="s">
        <v>386</v>
      </c>
      <c r="F622" s="11" t="s">
        <v>387</v>
      </c>
      <c r="G622" s="11" t="s">
        <v>2235</v>
      </c>
      <c r="H622" s="11" t="s">
        <v>2236</v>
      </c>
      <c r="I622" s="11"/>
      <c r="J622" s="11" t="s">
        <v>2237</v>
      </c>
      <c r="K622" s="9" t="s">
        <v>391</v>
      </c>
    </row>
    <row r="623" customFormat="false" ht="46.25" hidden="false" customHeight="false" outlineLevel="0" collapsed="false">
      <c r="A623" s="9" t="s">
        <v>21</v>
      </c>
      <c r="B623" s="9" t="s">
        <v>13</v>
      </c>
      <c r="C623" s="9" t="s">
        <v>124</v>
      </c>
      <c r="D623" s="9" t="s">
        <v>125</v>
      </c>
      <c r="E623" s="9" t="s">
        <v>386</v>
      </c>
      <c r="F623" s="11" t="s">
        <v>410</v>
      </c>
      <c r="G623" s="11" t="s">
        <v>2238</v>
      </c>
      <c r="H623" s="11" t="s">
        <v>2239</v>
      </c>
      <c r="I623" s="11"/>
      <c r="J623" s="11" t="s">
        <v>2240</v>
      </c>
      <c r="K623" s="9" t="s">
        <v>391</v>
      </c>
    </row>
    <row r="624" customFormat="false" ht="35.05" hidden="false" customHeight="false" outlineLevel="0" collapsed="false">
      <c r="A624" s="9" t="s">
        <v>21</v>
      </c>
      <c r="B624" s="9" t="s">
        <v>13</v>
      </c>
      <c r="C624" s="9" t="s">
        <v>124</v>
      </c>
      <c r="D624" s="9" t="s">
        <v>125</v>
      </c>
      <c r="E624" s="9" t="s">
        <v>386</v>
      </c>
      <c r="F624" s="11" t="s">
        <v>400</v>
      </c>
      <c r="G624" s="11" t="s">
        <v>2241</v>
      </c>
      <c r="H624" s="11" t="s">
        <v>2242</v>
      </c>
      <c r="I624" s="11"/>
      <c r="J624" s="11" t="s">
        <v>2243</v>
      </c>
      <c r="K624" s="9" t="s">
        <v>391</v>
      </c>
    </row>
    <row r="625" customFormat="false" ht="35.05" hidden="false" customHeight="false" outlineLevel="0" collapsed="false">
      <c r="A625" s="9" t="s">
        <v>21</v>
      </c>
      <c r="B625" s="9" t="s">
        <v>13</v>
      </c>
      <c r="C625" s="9" t="s">
        <v>124</v>
      </c>
      <c r="D625" s="9" t="s">
        <v>125</v>
      </c>
      <c r="E625" s="9" t="s">
        <v>386</v>
      </c>
      <c r="F625" s="11" t="s">
        <v>400</v>
      </c>
      <c r="G625" s="11" t="s">
        <v>2244</v>
      </c>
      <c r="H625" s="11" t="s">
        <v>2245</v>
      </c>
      <c r="I625" s="11"/>
      <c r="J625" s="11" t="s">
        <v>2243</v>
      </c>
      <c r="K625" s="9" t="s">
        <v>391</v>
      </c>
    </row>
    <row r="626" customFormat="false" ht="35.05" hidden="false" customHeight="false" outlineLevel="0" collapsed="false">
      <c r="A626" s="9" t="s">
        <v>21</v>
      </c>
      <c r="B626" s="9" t="s">
        <v>13</v>
      </c>
      <c r="C626" s="9" t="s">
        <v>124</v>
      </c>
      <c r="D626" s="9" t="s">
        <v>125</v>
      </c>
      <c r="E626" s="9" t="s">
        <v>386</v>
      </c>
      <c r="F626" s="11" t="s">
        <v>392</v>
      </c>
      <c r="G626" s="11" t="s">
        <v>2246</v>
      </c>
      <c r="H626" s="11" t="s">
        <v>2247</v>
      </c>
      <c r="I626" s="11"/>
      <c r="J626" s="11" t="s">
        <v>2248</v>
      </c>
      <c r="K626" s="9" t="s">
        <v>391</v>
      </c>
    </row>
    <row r="627" customFormat="false" ht="35.05" hidden="false" customHeight="false" outlineLevel="0" collapsed="false">
      <c r="A627" s="9" t="s">
        <v>21</v>
      </c>
      <c r="B627" s="9" t="s">
        <v>13</v>
      </c>
      <c r="C627" s="9" t="s">
        <v>124</v>
      </c>
      <c r="D627" s="9" t="s">
        <v>125</v>
      </c>
      <c r="E627" s="9" t="s">
        <v>386</v>
      </c>
      <c r="F627" s="11" t="s">
        <v>392</v>
      </c>
      <c r="G627" s="11" t="s">
        <v>2249</v>
      </c>
      <c r="H627" s="11" t="s">
        <v>2250</v>
      </c>
      <c r="I627" s="11"/>
      <c r="J627" s="11" t="s">
        <v>2248</v>
      </c>
      <c r="K627" s="9" t="s">
        <v>391</v>
      </c>
    </row>
    <row r="628" customFormat="false" ht="46.25" hidden="false" customHeight="false" outlineLevel="0" collapsed="false">
      <c r="A628" s="9" t="s">
        <v>21</v>
      </c>
      <c r="B628" s="9" t="s">
        <v>13</v>
      </c>
      <c r="C628" s="9" t="s">
        <v>124</v>
      </c>
      <c r="D628" s="9" t="s">
        <v>125</v>
      </c>
      <c r="E628" s="9" t="s">
        <v>386</v>
      </c>
      <c r="F628" s="11" t="s">
        <v>396</v>
      </c>
      <c r="G628" s="11" t="s">
        <v>2251</v>
      </c>
      <c r="H628" s="11" t="s">
        <v>2252</v>
      </c>
      <c r="I628" s="11"/>
      <c r="J628" s="11" t="s">
        <v>2253</v>
      </c>
      <c r="K628" s="9" t="s">
        <v>391</v>
      </c>
    </row>
    <row r="629" customFormat="false" ht="23.85" hidden="false" customHeight="false" outlineLevel="0" collapsed="false">
      <c r="A629" s="9" t="s">
        <v>21</v>
      </c>
      <c r="B629" s="9" t="s">
        <v>13</v>
      </c>
      <c r="C629" s="9" t="s">
        <v>124</v>
      </c>
      <c r="D629" s="9" t="s">
        <v>125</v>
      </c>
      <c r="E629" s="9" t="s">
        <v>386</v>
      </c>
      <c r="F629" s="11" t="s">
        <v>613</v>
      </c>
      <c r="G629" s="11" t="s">
        <v>2254</v>
      </c>
      <c r="H629" s="11" t="s">
        <v>2255</v>
      </c>
      <c r="I629" s="11"/>
      <c r="J629" s="11" t="s">
        <v>2256</v>
      </c>
      <c r="K629" s="9" t="s">
        <v>391</v>
      </c>
    </row>
    <row r="630" customFormat="false" ht="35.05" hidden="false" customHeight="false" outlineLevel="0" collapsed="false">
      <c r="A630" s="9" t="s">
        <v>21</v>
      </c>
      <c r="B630" s="9" t="s">
        <v>13</v>
      </c>
      <c r="C630" s="9" t="s">
        <v>124</v>
      </c>
      <c r="D630" s="9" t="s">
        <v>125</v>
      </c>
      <c r="E630" s="9" t="s">
        <v>386</v>
      </c>
      <c r="F630" s="11" t="s">
        <v>715</v>
      </c>
      <c r="G630" s="11" t="s">
        <v>2257</v>
      </c>
      <c r="H630" s="11" t="s">
        <v>2258</v>
      </c>
      <c r="I630" s="11"/>
      <c r="J630" s="11" t="s">
        <v>2259</v>
      </c>
      <c r="K630" s="9" t="s">
        <v>391</v>
      </c>
    </row>
    <row r="631" customFormat="false" ht="35.05" hidden="false" customHeight="false" outlineLevel="0" collapsed="false">
      <c r="A631" s="9" t="s">
        <v>21</v>
      </c>
      <c r="B631" s="9" t="s">
        <v>13</v>
      </c>
      <c r="C631" s="9" t="s">
        <v>124</v>
      </c>
      <c r="D631" s="9" t="s">
        <v>125</v>
      </c>
      <c r="E631" s="9" t="s">
        <v>386</v>
      </c>
      <c r="F631" s="11" t="s">
        <v>410</v>
      </c>
      <c r="G631" s="11" t="s">
        <v>2260</v>
      </c>
      <c r="H631" s="11" t="s">
        <v>2261</v>
      </c>
      <c r="I631" s="11"/>
      <c r="J631" s="11" t="s">
        <v>2262</v>
      </c>
      <c r="K631" s="9" t="s">
        <v>391</v>
      </c>
    </row>
    <row r="632" customFormat="false" ht="35.05" hidden="false" customHeight="false" outlineLevel="0" collapsed="false">
      <c r="A632" s="9" t="s">
        <v>21</v>
      </c>
      <c r="B632" s="9" t="s">
        <v>13</v>
      </c>
      <c r="C632" s="9" t="s">
        <v>124</v>
      </c>
      <c r="D632" s="9" t="s">
        <v>125</v>
      </c>
      <c r="E632" s="9" t="s">
        <v>386</v>
      </c>
      <c r="F632" s="11" t="s">
        <v>410</v>
      </c>
      <c r="G632" s="11" t="s">
        <v>2263</v>
      </c>
      <c r="H632" s="11" t="s">
        <v>2264</v>
      </c>
      <c r="I632" s="11"/>
      <c r="J632" s="11" t="s">
        <v>2262</v>
      </c>
      <c r="K632" s="9" t="s">
        <v>391</v>
      </c>
    </row>
    <row r="633" customFormat="false" ht="35.05" hidden="false" customHeight="false" outlineLevel="0" collapsed="false">
      <c r="A633" s="9" t="s">
        <v>21</v>
      </c>
      <c r="B633" s="9" t="s">
        <v>13</v>
      </c>
      <c r="C633" s="9" t="s">
        <v>124</v>
      </c>
      <c r="D633" s="9" t="s">
        <v>125</v>
      </c>
      <c r="E633" s="9" t="s">
        <v>386</v>
      </c>
      <c r="F633" s="11" t="s">
        <v>410</v>
      </c>
      <c r="G633" s="11" t="s">
        <v>2265</v>
      </c>
      <c r="H633" s="11" t="s">
        <v>2266</v>
      </c>
      <c r="I633" s="11"/>
      <c r="J633" s="11" t="s">
        <v>2240</v>
      </c>
      <c r="K633" s="9" t="s">
        <v>391</v>
      </c>
    </row>
    <row r="634" customFormat="false" ht="35.05" hidden="false" customHeight="false" outlineLevel="0" collapsed="false">
      <c r="A634" s="9" t="s">
        <v>21</v>
      </c>
      <c r="B634" s="9" t="s">
        <v>13</v>
      </c>
      <c r="C634" s="9" t="s">
        <v>124</v>
      </c>
      <c r="D634" s="9" t="s">
        <v>125</v>
      </c>
      <c r="E634" s="9" t="s">
        <v>386</v>
      </c>
      <c r="F634" s="11" t="s">
        <v>410</v>
      </c>
      <c r="G634" s="11" t="s">
        <v>2267</v>
      </c>
      <c r="H634" s="11" t="s">
        <v>2268</v>
      </c>
      <c r="I634" s="11"/>
      <c r="J634" s="11" t="s">
        <v>2240</v>
      </c>
      <c r="K634" s="9" t="s">
        <v>391</v>
      </c>
    </row>
    <row r="635" customFormat="false" ht="23.85" hidden="false" customHeight="false" outlineLevel="0" collapsed="false">
      <c r="A635" s="9" t="s">
        <v>21</v>
      </c>
      <c r="B635" s="9" t="s">
        <v>13</v>
      </c>
      <c r="C635" s="9" t="s">
        <v>124</v>
      </c>
      <c r="D635" s="9" t="s">
        <v>125</v>
      </c>
      <c r="E635" s="9" t="s">
        <v>386</v>
      </c>
      <c r="F635" s="11" t="s">
        <v>387</v>
      </c>
      <c r="G635" s="11" t="s">
        <v>2269</v>
      </c>
      <c r="H635" s="11" t="s">
        <v>2270</v>
      </c>
      <c r="I635" s="11"/>
      <c r="J635" s="11" t="s">
        <v>2240</v>
      </c>
      <c r="K635" s="9" t="s">
        <v>391</v>
      </c>
    </row>
    <row r="636" customFormat="false" ht="46.25" hidden="false" customHeight="false" outlineLevel="0" collapsed="false">
      <c r="A636" s="9" t="s">
        <v>21</v>
      </c>
      <c r="B636" s="9" t="s">
        <v>13</v>
      </c>
      <c r="C636" s="9" t="s">
        <v>124</v>
      </c>
      <c r="D636" s="9" t="s">
        <v>125</v>
      </c>
      <c r="E636" s="9" t="s">
        <v>386</v>
      </c>
      <c r="F636" s="11" t="s">
        <v>2134</v>
      </c>
      <c r="G636" s="11" t="s">
        <v>2271</v>
      </c>
      <c r="H636" s="11" t="s">
        <v>2272</v>
      </c>
      <c r="I636" s="11"/>
      <c r="J636" s="11" t="s">
        <v>2240</v>
      </c>
      <c r="K636" s="9" t="s">
        <v>391</v>
      </c>
    </row>
    <row r="637" customFormat="false" ht="46.25" hidden="false" customHeight="false" outlineLevel="0" collapsed="false">
      <c r="A637" s="9" t="s">
        <v>21</v>
      </c>
      <c r="B637" s="9" t="s">
        <v>13</v>
      </c>
      <c r="C637" s="9" t="s">
        <v>124</v>
      </c>
      <c r="D637" s="9" t="s">
        <v>125</v>
      </c>
      <c r="E637" s="9" t="s">
        <v>386</v>
      </c>
      <c r="F637" s="11" t="s">
        <v>387</v>
      </c>
      <c r="G637" s="11" t="s">
        <v>2273</v>
      </c>
      <c r="H637" s="11" t="s">
        <v>2274</v>
      </c>
      <c r="I637" s="11"/>
      <c r="J637" s="11" t="s">
        <v>2275</v>
      </c>
      <c r="K637" s="9" t="s">
        <v>391</v>
      </c>
    </row>
    <row r="638" customFormat="false" ht="35.05" hidden="false" customHeight="false" outlineLevel="0" collapsed="false">
      <c r="A638" s="9" t="s">
        <v>21</v>
      </c>
      <c r="B638" s="9" t="s">
        <v>13</v>
      </c>
      <c r="C638" s="9" t="s">
        <v>349</v>
      </c>
      <c r="D638" s="9" t="s">
        <v>350</v>
      </c>
      <c r="E638" s="9" t="s">
        <v>386</v>
      </c>
      <c r="F638" s="11" t="s">
        <v>410</v>
      </c>
      <c r="G638" s="11" t="s">
        <v>2276</v>
      </c>
      <c r="H638" s="11" t="s">
        <v>2277</v>
      </c>
      <c r="I638" s="11"/>
      <c r="J638" s="11" t="s">
        <v>2278</v>
      </c>
      <c r="K638" s="9" t="s">
        <v>391</v>
      </c>
    </row>
    <row r="639" customFormat="false" ht="35.05" hidden="false" customHeight="false" outlineLevel="0" collapsed="false">
      <c r="A639" s="9" t="s">
        <v>21</v>
      </c>
      <c r="B639" s="9" t="s">
        <v>13</v>
      </c>
      <c r="C639" s="9" t="s">
        <v>349</v>
      </c>
      <c r="D639" s="9" t="s">
        <v>350</v>
      </c>
      <c r="E639" s="9" t="s">
        <v>386</v>
      </c>
      <c r="F639" s="11" t="s">
        <v>410</v>
      </c>
      <c r="G639" s="11" t="s">
        <v>2279</v>
      </c>
      <c r="H639" s="11" t="s">
        <v>2280</v>
      </c>
      <c r="I639" s="11"/>
      <c r="J639" s="11" t="s">
        <v>2278</v>
      </c>
      <c r="K639" s="9" t="s">
        <v>391</v>
      </c>
    </row>
    <row r="640" customFormat="false" ht="35.05" hidden="false" customHeight="false" outlineLevel="0" collapsed="false">
      <c r="A640" s="9" t="s">
        <v>21</v>
      </c>
      <c r="B640" s="9" t="s">
        <v>13</v>
      </c>
      <c r="C640" s="9" t="s">
        <v>349</v>
      </c>
      <c r="D640" s="9" t="s">
        <v>350</v>
      </c>
      <c r="E640" s="9" t="s">
        <v>386</v>
      </c>
      <c r="F640" s="11" t="s">
        <v>387</v>
      </c>
      <c r="G640" s="11" t="s">
        <v>2281</v>
      </c>
      <c r="H640" s="11" t="s">
        <v>2282</v>
      </c>
      <c r="I640" s="11"/>
      <c r="J640" s="11" t="s">
        <v>2283</v>
      </c>
      <c r="K640" s="9" t="s">
        <v>391</v>
      </c>
    </row>
    <row r="641" customFormat="false" ht="35.05" hidden="false" customHeight="false" outlineLevel="0" collapsed="false">
      <c r="A641" s="9" t="s">
        <v>21</v>
      </c>
      <c r="B641" s="9" t="s">
        <v>13</v>
      </c>
      <c r="C641" s="9" t="s">
        <v>349</v>
      </c>
      <c r="D641" s="9" t="s">
        <v>350</v>
      </c>
      <c r="E641" s="9" t="s">
        <v>386</v>
      </c>
      <c r="F641" s="11" t="s">
        <v>400</v>
      </c>
      <c r="G641" s="11" t="s">
        <v>2284</v>
      </c>
      <c r="H641" s="11" t="s">
        <v>2285</v>
      </c>
      <c r="I641" s="11"/>
      <c r="J641" s="11" t="s">
        <v>2286</v>
      </c>
      <c r="K641" s="9" t="s">
        <v>391</v>
      </c>
    </row>
    <row r="642" customFormat="false" ht="35.05" hidden="false" customHeight="false" outlineLevel="0" collapsed="false">
      <c r="A642" s="9" t="s">
        <v>21</v>
      </c>
      <c r="B642" s="9" t="s">
        <v>13</v>
      </c>
      <c r="C642" s="9" t="s">
        <v>349</v>
      </c>
      <c r="D642" s="9" t="s">
        <v>350</v>
      </c>
      <c r="E642" s="9" t="s">
        <v>386</v>
      </c>
      <c r="F642" s="11" t="s">
        <v>392</v>
      </c>
      <c r="G642" s="11" t="s">
        <v>2287</v>
      </c>
      <c r="H642" s="11" t="s">
        <v>2288</v>
      </c>
      <c r="I642" s="11"/>
      <c r="J642" s="11" t="s">
        <v>2289</v>
      </c>
      <c r="K642" s="9" t="s">
        <v>391</v>
      </c>
    </row>
    <row r="643" customFormat="false" ht="46.25" hidden="false" customHeight="false" outlineLevel="0" collapsed="false">
      <c r="A643" s="9" t="s">
        <v>21</v>
      </c>
      <c r="B643" s="9" t="s">
        <v>22</v>
      </c>
      <c r="C643" s="9" t="s">
        <v>133</v>
      </c>
      <c r="D643" s="9" t="s">
        <v>134</v>
      </c>
      <c r="E643" s="9" t="s">
        <v>386</v>
      </c>
      <c r="F643" s="11" t="s">
        <v>410</v>
      </c>
      <c r="G643" s="11" t="s">
        <v>2290</v>
      </c>
      <c r="H643" s="11" t="s">
        <v>2291</v>
      </c>
      <c r="I643" s="11"/>
      <c r="J643" s="11" t="s">
        <v>2292</v>
      </c>
      <c r="K643" s="9" t="s">
        <v>391</v>
      </c>
    </row>
    <row r="644" customFormat="false" ht="57.45" hidden="false" customHeight="false" outlineLevel="0" collapsed="false">
      <c r="A644" s="9" t="s">
        <v>21</v>
      </c>
      <c r="B644" s="9" t="s">
        <v>22</v>
      </c>
      <c r="C644" s="9" t="s">
        <v>133</v>
      </c>
      <c r="D644" s="9" t="s">
        <v>134</v>
      </c>
      <c r="E644" s="9" t="s">
        <v>386</v>
      </c>
      <c r="F644" s="11" t="s">
        <v>400</v>
      </c>
      <c r="G644" s="11" t="s">
        <v>2293</v>
      </c>
      <c r="H644" s="11" t="s">
        <v>2294</v>
      </c>
      <c r="I644" s="11"/>
      <c r="J644" s="11" t="s">
        <v>2295</v>
      </c>
      <c r="K644" s="9" t="s">
        <v>391</v>
      </c>
    </row>
    <row r="645" customFormat="false" ht="46.25" hidden="false" customHeight="false" outlineLevel="0" collapsed="false">
      <c r="A645" s="9" t="s">
        <v>21</v>
      </c>
      <c r="B645" s="9" t="s">
        <v>22</v>
      </c>
      <c r="C645" s="9" t="s">
        <v>133</v>
      </c>
      <c r="D645" s="9" t="s">
        <v>134</v>
      </c>
      <c r="E645" s="9" t="s">
        <v>386</v>
      </c>
      <c r="F645" s="11" t="s">
        <v>392</v>
      </c>
      <c r="G645" s="11" t="s">
        <v>2296</v>
      </c>
      <c r="H645" s="11" t="s">
        <v>2297</v>
      </c>
      <c r="I645" s="11"/>
      <c r="J645" s="11" t="s">
        <v>2298</v>
      </c>
      <c r="K645" s="9" t="s">
        <v>391</v>
      </c>
    </row>
    <row r="646" customFormat="false" ht="46.25" hidden="false" customHeight="false" outlineLevel="0" collapsed="false">
      <c r="A646" s="9" t="s">
        <v>21</v>
      </c>
      <c r="B646" s="9" t="s">
        <v>22</v>
      </c>
      <c r="C646" s="9" t="s">
        <v>133</v>
      </c>
      <c r="D646" s="9" t="s">
        <v>134</v>
      </c>
      <c r="E646" s="9" t="s">
        <v>386</v>
      </c>
      <c r="F646" s="11" t="s">
        <v>392</v>
      </c>
      <c r="G646" s="11" t="s">
        <v>2299</v>
      </c>
      <c r="H646" s="11" t="s">
        <v>2300</v>
      </c>
      <c r="I646" s="11"/>
      <c r="J646" s="11" t="s">
        <v>2298</v>
      </c>
      <c r="K646" s="9" t="s">
        <v>391</v>
      </c>
    </row>
    <row r="647" customFormat="false" ht="35.05" hidden="false" customHeight="false" outlineLevel="0" collapsed="false">
      <c r="A647" s="9" t="s">
        <v>21</v>
      </c>
      <c r="B647" s="9" t="s">
        <v>22</v>
      </c>
      <c r="C647" s="9" t="s">
        <v>133</v>
      </c>
      <c r="D647" s="9" t="s">
        <v>134</v>
      </c>
      <c r="E647" s="9" t="s">
        <v>386</v>
      </c>
      <c r="F647" s="11" t="s">
        <v>419</v>
      </c>
      <c r="G647" s="11" t="s">
        <v>2301</v>
      </c>
      <c r="H647" s="11" t="s">
        <v>2302</v>
      </c>
      <c r="I647" s="11"/>
      <c r="J647" s="11" t="s">
        <v>2303</v>
      </c>
      <c r="K647" s="9" t="s">
        <v>391</v>
      </c>
    </row>
    <row r="648" customFormat="false" ht="46.25" hidden="false" customHeight="false" outlineLevel="0" collapsed="false">
      <c r="A648" s="9" t="s">
        <v>21</v>
      </c>
      <c r="B648" s="9" t="s">
        <v>22</v>
      </c>
      <c r="C648" s="9" t="s">
        <v>133</v>
      </c>
      <c r="D648" s="9" t="s">
        <v>134</v>
      </c>
      <c r="E648" s="9" t="s">
        <v>386</v>
      </c>
      <c r="F648" s="11" t="s">
        <v>396</v>
      </c>
      <c r="G648" s="11" t="s">
        <v>2304</v>
      </c>
      <c r="H648" s="11" t="s">
        <v>2305</v>
      </c>
      <c r="I648" s="11"/>
      <c r="J648" s="11" t="s">
        <v>2306</v>
      </c>
      <c r="K648" s="9" t="s">
        <v>391</v>
      </c>
    </row>
    <row r="649" customFormat="false" ht="23.85" hidden="false" customHeight="false" outlineLevel="0" collapsed="false">
      <c r="A649" s="9" t="s">
        <v>21</v>
      </c>
      <c r="B649" s="9" t="s">
        <v>22</v>
      </c>
      <c r="C649" s="9" t="s">
        <v>130</v>
      </c>
      <c r="D649" s="9" t="s">
        <v>131</v>
      </c>
      <c r="E649" s="9" t="s">
        <v>386</v>
      </c>
      <c r="F649" s="11" t="s">
        <v>722</v>
      </c>
      <c r="G649" s="11" t="s">
        <v>2307</v>
      </c>
      <c r="H649" s="11" t="s">
        <v>2308</v>
      </c>
      <c r="I649" s="11"/>
      <c r="J649" s="11" t="s">
        <v>2309</v>
      </c>
      <c r="K649" s="9" t="s">
        <v>391</v>
      </c>
    </row>
    <row r="650" customFormat="false" ht="35.05" hidden="false" customHeight="false" outlineLevel="0" collapsed="false">
      <c r="A650" s="9" t="s">
        <v>21</v>
      </c>
      <c r="B650" s="9" t="s">
        <v>22</v>
      </c>
      <c r="C650" s="9" t="s">
        <v>130</v>
      </c>
      <c r="D650" s="9" t="s">
        <v>131</v>
      </c>
      <c r="E650" s="9" t="s">
        <v>386</v>
      </c>
      <c r="F650" s="11" t="s">
        <v>410</v>
      </c>
      <c r="G650" s="11" t="s">
        <v>2310</v>
      </c>
      <c r="H650" s="11" t="s">
        <v>2311</v>
      </c>
      <c r="I650" s="11"/>
      <c r="J650" s="11" t="s">
        <v>2312</v>
      </c>
      <c r="K650" s="9" t="s">
        <v>391</v>
      </c>
    </row>
    <row r="651" customFormat="false" ht="23.85" hidden="false" customHeight="false" outlineLevel="0" collapsed="false">
      <c r="A651" s="9" t="s">
        <v>21</v>
      </c>
      <c r="B651" s="9" t="s">
        <v>22</v>
      </c>
      <c r="C651" s="9" t="s">
        <v>130</v>
      </c>
      <c r="D651" s="9" t="s">
        <v>131</v>
      </c>
      <c r="E651" s="9" t="s">
        <v>386</v>
      </c>
      <c r="F651" s="11" t="s">
        <v>400</v>
      </c>
      <c r="G651" s="11" t="s">
        <v>2313</v>
      </c>
      <c r="H651" s="11" t="s">
        <v>2314</v>
      </c>
      <c r="I651" s="11"/>
      <c r="J651" s="11" t="s">
        <v>2315</v>
      </c>
      <c r="K651" s="9" t="s">
        <v>391</v>
      </c>
    </row>
    <row r="652" customFormat="false" ht="46.25" hidden="false" customHeight="false" outlineLevel="0" collapsed="false">
      <c r="A652" s="9" t="s">
        <v>21</v>
      </c>
      <c r="B652" s="9" t="s">
        <v>22</v>
      </c>
      <c r="C652" s="9" t="s">
        <v>130</v>
      </c>
      <c r="D652" s="9" t="s">
        <v>131</v>
      </c>
      <c r="E652" s="9" t="s">
        <v>386</v>
      </c>
      <c r="F652" s="11" t="s">
        <v>419</v>
      </c>
      <c r="G652" s="11" t="s">
        <v>2316</v>
      </c>
      <c r="H652" s="11" t="s">
        <v>2317</v>
      </c>
      <c r="I652" s="11"/>
      <c r="J652" s="11" t="s">
        <v>2318</v>
      </c>
      <c r="K652" s="9" t="s">
        <v>391</v>
      </c>
    </row>
    <row r="653" customFormat="false" ht="23.85" hidden="false" customHeight="false" outlineLevel="0" collapsed="false">
      <c r="A653" s="9" t="s">
        <v>21</v>
      </c>
      <c r="B653" s="9" t="s">
        <v>22</v>
      </c>
      <c r="C653" s="9" t="s">
        <v>130</v>
      </c>
      <c r="D653" s="9" t="s">
        <v>131</v>
      </c>
      <c r="E653" s="9" t="s">
        <v>386</v>
      </c>
      <c r="F653" s="11" t="s">
        <v>396</v>
      </c>
      <c r="G653" s="11" t="s">
        <v>2319</v>
      </c>
      <c r="H653" s="11" t="s">
        <v>2320</v>
      </c>
      <c r="I653" s="11"/>
      <c r="J653" s="11" t="s">
        <v>2315</v>
      </c>
      <c r="K653" s="9" t="s">
        <v>391</v>
      </c>
    </row>
    <row r="654" customFormat="false" ht="46.25" hidden="false" customHeight="false" outlineLevel="0" collapsed="false">
      <c r="A654" s="9" t="s">
        <v>21</v>
      </c>
      <c r="B654" s="9" t="s">
        <v>22</v>
      </c>
      <c r="C654" s="9" t="s">
        <v>130</v>
      </c>
      <c r="D654" s="9" t="s">
        <v>131</v>
      </c>
      <c r="E654" s="9" t="s">
        <v>386</v>
      </c>
      <c r="F654" s="11" t="s">
        <v>410</v>
      </c>
      <c r="G654" s="11" t="s">
        <v>2321</v>
      </c>
      <c r="H654" s="11" t="s">
        <v>2322</v>
      </c>
      <c r="I654" s="11"/>
      <c r="J654" s="11" t="s">
        <v>2323</v>
      </c>
      <c r="K654" s="9" t="s">
        <v>391</v>
      </c>
    </row>
    <row r="655" customFormat="false" ht="35.05" hidden="false" customHeight="false" outlineLevel="0" collapsed="false">
      <c r="A655" s="9" t="s">
        <v>21</v>
      </c>
      <c r="B655" s="9" t="s">
        <v>22</v>
      </c>
      <c r="C655" s="9" t="s">
        <v>369</v>
      </c>
      <c r="D655" s="9" t="s">
        <v>370</v>
      </c>
      <c r="E655" s="9" t="s">
        <v>386</v>
      </c>
      <c r="F655" s="11" t="s">
        <v>410</v>
      </c>
      <c r="G655" s="11" t="s">
        <v>2324</v>
      </c>
      <c r="H655" s="11" t="s">
        <v>2325</v>
      </c>
      <c r="I655" s="11"/>
      <c r="J655" s="11" t="s">
        <v>2326</v>
      </c>
      <c r="K655" s="9" t="s">
        <v>391</v>
      </c>
    </row>
    <row r="656" customFormat="false" ht="46.25" hidden="false" customHeight="false" outlineLevel="0" collapsed="false">
      <c r="A656" s="9" t="s">
        <v>21</v>
      </c>
      <c r="B656" s="9" t="s">
        <v>22</v>
      </c>
      <c r="C656" s="9" t="s">
        <v>369</v>
      </c>
      <c r="D656" s="9" t="s">
        <v>370</v>
      </c>
      <c r="E656" s="9" t="s">
        <v>386</v>
      </c>
      <c r="F656" s="11" t="s">
        <v>396</v>
      </c>
      <c r="G656" s="11" t="s">
        <v>2327</v>
      </c>
      <c r="H656" s="11" t="s">
        <v>2328</v>
      </c>
      <c r="I656" s="11"/>
      <c r="J656" s="11" t="s">
        <v>2329</v>
      </c>
      <c r="K656" s="9" t="s">
        <v>391</v>
      </c>
    </row>
    <row r="657" customFormat="false" ht="35.05" hidden="false" customHeight="false" outlineLevel="0" collapsed="false">
      <c r="A657" s="9" t="s">
        <v>21</v>
      </c>
      <c r="B657" s="9" t="s">
        <v>22</v>
      </c>
      <c r="C657" s="9" t="s">
        <v>369</v>
      </c>
      <c r="D657" s="9" t="s">
        <v>370</v>
      </c>
      <c r="E657" s="9" t="s">
        <v>386</v>
      </c>
      <c r="F657" s="11" t="s">
        <v>410</v>
      </c>
      <c r="G657" s="11" t="s">
        <v>2324</v>
      </c>
      <c r="H657" s="11" t="s">
        <v>2325</v>
      </c>
      <c r="I657" s="11"/>
      <c r="J657" s="11" t="s">
        <v>2330</v>
      </c>
      <c r="K657" s="9" t="s">
        <v>391</v>
      </c>
    </row>
    <row r="658" customFormat="false" ht="35.05" hidden="false" customHeight="false" outlineLevel="0" collapsed="false">
      <c r="A658" s="9" t="s">
        <v>21</v>
      </c>
      <c r="B658" s="9" t="s">
        <v>22</v>
      </c>
      <c r="C658" s="9" t="s">
        <v>364</v>
      </c>
      <c r="D658" s="9" t="s">
        <v>365</v>
      </c>
      <c r="E658" s="9" t="s">
        <v>386</v>
      </c>
      <c r="F658" s="11" t="s">
        <v>400</v>
      </c>
      <c r="G658" s="11" t="s">
        <v>2331</v>
      </c>
      <c r="H658" s="11" t="s">
        <v>2332</v>
      </c>
      <c r="I658" s="11"/>
      <c r="J658" s="11" t="s">
        <v>2333</v>
      </c>
      <c r="K658" s="9" t="s">
        <v>391</v>
      </c>
    </row>
    <row r="659" customFormat="false" ht="35.05" hidden="false" customHeight="false" outlineLevel="0" collapsed="false">
      <c r="A659" s="9" t="s">
        <v>21</v>
      </c>
      <c r="B659" s="9" t="s">
        <v>22</v>
      </c>
      <c r="C659" s="9" t="s">
        <v>364</v>
      </c>
      <c r="D659" s="9" t="s">
        <v>365</v>
      </c>
      <c r="E659" s="9" t="s">
        <v>386</v>
      </c>
      <c r="F659" s="11" t="s">
        <v>410</v>
      </c>
      <c r="G659" s="11" t="s">
        <v>2334</v>
      </c>
      <c r="H659" s="11" t="s">
        <v>2335</v>
      </c>
      <c r="I659" s="11"/>
      <c r="J659" s="11" t="s">
        <v>2333</v>
      </c>
      <c r="K659" s="9" t="s">
        <v>391</v>
      </c>
    </row>
    <row r="660" customFormat="false" ht="46.25" hidden="false" customHeight="false" outlineLevel="0" collapsed="false">
      <c r="A660" s="9" t="s">
        <v>21</v>
      </c>
      <c r="B660" s="9" t="s">
        <v>22</v>
      </c>
      <c r="C660" s="9" t="s">
        <v>364</v>
      </c>
      <c r="D660" s="9" t="s">
        <v>365</v>
      </c>
      <c r="E660" s="9" t="s">
        <v>386</v>
      </c>
      <c r="F660" s="11" t="s">
        <v>396</v>
      </c>
      <c r="G660" s="11" t="s">
        <v>2336</v>
      </c>
      <c r="H660" s="11" t="s">
        <v>2337</v>
      </c>
      <c r="I660" s="11"/>
      <c r="J660" s="11" t="s">
        <v>2338</v>
      </c>
      <c r="K660" s="9" t="s">
        <v>391</v>
      </c>
    </row>
  </sheetData>
  <autoFilter ref="A1:K66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3" min="3" style="0" width="12"/>
    <col collapsed="false" customWidth="true" hidden="false" outlineLevel="0" max="4" min="4" style="0" width="34"/>
    <col collapsed="false" customWidth="true" hidden="false" outlineLevel="0" max="5" min="5" style="0" width="90"/>
  </cols>
  <sheetData>
    <row r="1" customFormat="false" ht="30" hidden="false" customHeight="true" outlineLevel="0" collapsed="false">
      <c r="A1" s="3" t="s">
        <v>2</v>
      </c>
      <c r="B1" s="3" t="s">
        <v>3</v>
      </c>
      <c r="C1" s="3" t="s">
        <v>27</v>
      </c>
      <c r="D1" s="3" t="s">
        <v>28</v>
      </c>
      <c r="E1" s="3" t="s">
        <v>2339</v>
      </c>
    </row>
    <row r="2" customFormat="false" ht="15" hidden="false" customHeight="false" outlineLevel="0" collapsed="false">
      <c r="A2" s="15" t="s">
        <v>14</v>
      </c>
      <c r="B2" s="15" t="s">
        <v>15</v>
      </c>
      <c r="C2" s="15" t="s">
        <v>2340</v>
      </c>
      <c r="D2" s="15" t="s">
        <v>2341</v>
      </c>
      <c r="E2" s="16" t="s">
        <v>2342</v>
      </c>
    </row>
    <row r="3" customFormat="false" ht="15" hidden="false" customHeight="false" outlineLevel="0" collapsed="false">
      <c r="A3" s="15" t="s">
        <v>18</v>
      </c>
      <c r="B3" s="15" t="s">
        <v>19</v>
      </c>
      <c r="C3" s="15" t="s">
        <v>2343</v>
      </c>
      <c r="D3" s="15" t="s">
        <v>2344</v>
      </c>
      <c r="E3" s="16" t="s">
        <v>2345</v>
      </c>
    </row>
    <row r="4" customFormat="false" ht="15" hidden="false" customHeight="false" outlineLevel="0" collapsed="false">
      <c r="A4" s="15" t="s">
        <v>18</v>
      </c>
      <c r="B4" s="15" t="s">
        <v>20</v>
      </c>
      <c r="C4" s="15" t="s">
        <v>2346</v>
      </c>
      <c r="D4" s="15" t="s">
        <v>2347</v>
      </c>
      <c r="E4" s="16" t="s">
        <v>2345</v>
      </c>
    </row>
    <row r="5" customFormat="false" ht="15" hidden="false" customHeight="false" outlineLevel="0" collapsed="false">
      <c r="A5" s="15" t="s">
        <v>18</v>
      </c>
      <c r="B5" s="15" t="s">
        <v>20</v>
      </c>
      <c r="C5" s="15" t="s">
        <v>2348</v>
      </c>
      <c r="D5" s="15" t="s">
        <v>2349</v>
      </c>
      <c r="E5" s="16" t="s">
        <v>2345</v>
      </c>
    </row>
    <row r="6" customFormat="false" ht="15" hidden="false" customHeight="false" outlineLevel="0" collapsed="false">
      <c r="A6" s="15" t="s">
        <v>18</v>
      </c>
      <c r="B6" s="15" t="s">
        <v>11</v>
      </c>
      <c r="C6" s="15" t="s">
        <v>2350</v>
      </c>
      <c r="D6" s="15" t="s">
        <v>2351</v>
      </c>
      <c r="E6" s="16" t="s">
        <v>2345</v>
      </c>
    </row>
    <row r="7" customFormat="false" ht="15" hidden="false" customHeight="false" outlineLevel="0" collapsed="false">
      <c r="A7" s="15" t="s">
        <v>18</v>
      </c>
      <c r="B7" s="15" t="s">
        <v>11</v>
      </c>
      <c r="C7" s="15" t="s">
        <v>2352</v>
      </c>
      <c r="D7" s="15" t="s">
        <v>2353</v>
      </c>
      <c r="E7" s="16" t="s">
        <v>2345</v>
      </c>
    </row>
    <row r="8" customFormat="false" ht="15" hidden="false" customHeight="false" outlineLevel="0" collapsed="false">
      <c r="A8" s="15" t="s">
        <v>21</v>
      </c>
      <c r="B8" s="15" t="s">
        <v>11</v>
      </c>
      <c r="C8" s="15" t="s">
        <v>2354</v>
      </c>
      <c r="D8" s="15" t="s">
        <v>2355</v>
      </c>
      <c r="E8" s="16" t="s">
        <v>2356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2026-10-23T18:38:04Z</dcterms:created>
  <dc:creator>openpyxl</dc:creator>
  <dc:description/>
  <dc:language>en-US</dc:language>
  <cp:lastModifiedBy/>
  <dcterms:modified xsi:type="dcterms:W3CDTF">2026-10-23T18:38:05Z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